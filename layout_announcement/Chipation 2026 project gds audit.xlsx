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Blocks" sheetId="2" r:id="rId6"/>
    <sheet state="visible" name="Problems" sheetId="3" r:id="rId7"/>
  </sheets>
  <definedNames/>
  <calcPr/>
</workbook>
</file>

<file path=xl/sharedStrings.xml><?xml version="1.0" encoding="utf-8"?>
<sst xmlns="http://schemas.openxmlformats.org/spreadsheetml/2006/main" count="748" uniqueCount="419">
  <si>
    <t>Blocks</t>
  </si>
  <si>
    <t>Team</t>
  </si>
  <si>
    <t>A03: info.yaml does not contain a pin list (expected 'pins' or 'project.pins')</t>
  </si>
  <si>
    <t>Pin order</t>
  </si>
  <si>
    <t>Placement</t>
  </si>
  <si>
    <t>Top_cell</t>
  </si>
  <si>
    <t>gds_file</t>
  </si>
  <si>
    <t>width</t>
  </si>
  <si>
    <t>A03: TOP_LAYOUT cell 'A01_topcell' not found in GDS</t>
  </si>
  <si>
    <t>height</t>
  </si>
  <si>
    <t>Pin count</t>
  </si>
  <si>
    <t>A12: missing gpio_0_IN|gpio_0_OUT</t>
  </si>
  <si>
    <t>Slot Type</t>
  </si>
  <si>
    <t>A12: missing gpio_1_IN|gpio_1_OUT</t>
  </si>
  <si>
    <t>Area</t>
  </si>
  <si>
    <t>A12: missing gpio_2_IN|gpio_2_OUT</t>
  </si>
  <si>
    <t>Pin Count</t>
  </si>
  <si>
    <t>A12: missing gpio_3_IN|gpio_3_OUT</t>
  </si>
  <si>
    <t>power</t>
  </si>
  <si>
    <t>block</t>
  </si>
  <si>
    <t>A12: missing gpio_4_IN|gpio_4_OUT</t>
  </si>
  <si>
    <t>ground</t>
  </si>
  <si>
    <t>utilization</t>
  </si>
  <si>
    <t>A12: missing gpio_5_IN|gpio_5_OUT</t>
  </si>
  <si>
    <t>analog-ESD</t>
  </si>
  <si>
    <t>A12: missing gpio_6_IN|gpio_6_OUT</t>
  </si>
  <si>
    <t>analog+ESD</t>
  </si>
  <si>
    <t>A12: missing gpio_7_IN|gpio_7_OUT</t>
  </si>
  <si>
    <t>input_cmos</t>
  </si>
  <si>
    <t>input_schmitt</t>
  </si>
  <si>
    <t>A12: missing gpio_8_IN|gpio_8_OUT</t>
  </si>
  <si>
    <t>bidirectional</t>
  </si>
  <si>
    <t>A12: missing gpio_9_IN|gpio_9_OUT</t>
  </si>
  <si>
    <t>bidirectional_24ma</t>
  </si>
  <si>
    <t>unmatched</t>
  </si>
  <si>
    <t>A12: missing gpio_10_IN|gpio_10_OUT</t>
  </si>
  <si>
    <t>errors</t>
  </si>
  <si>
    <t>A12: missing gpio_11_IN|gpio_11_OUT</t>
  </si>
  <si>
    <t>A01</t>
  </si>
  <si>
    <t>A12: missing gpio_12_IN|gpio_12_OUT</t>
  </si>
  <si>
    <t>chip_top</t>
  </si>
  <si>
    <t>E</t>
  </si>
  <si>
    <t>chip_top.gds</t>
  </si>
  <si>
    <t>A12: missing gpio_13_IN|gpio_13_OUT</t>
  </si>
  <si>
    <t>W12-W17</t>
  </si>
  <si>
    <t>A12: missing gpio_14_IN|gpio_14_OUT</t>
  </si>
  <si>
    <t>350, 1475</t>
  </si>
  <si>
    <t>A12: missing gpio_15_IN|gpio_15_OUT</t>
  </si>
  <si>
    <t>A19: info.yaml does not contain a pin list (expected 'pins' or 'project.pins')</t>
  </si>
  <si>
    <t>A20: missing vss</t>
  </si>
  <si>
    <t>A20: missing vdd</t>
  </si>
  <si>
    <t>A23: TOP_LAYOUT 'sar_adc_10b' has no top-level shapes on layer 0/datatype 0</t>
  </si>
  <si>
    <t>A28: info.yaml does not contain a pin list (expected 'pins' or 'project.pins')</t>
  </si>
  <si>
    <t>A28: TOP_LAYOUT 'bgr_top_firstcut' has no top-level shapes on layer 0/datatype 0</t>
  </si>
  <si>
    <t>A30: info.yaml does not contain a pin list (expected 'pins' or 'project.pins')</t>
  </si>
  <si>
    <t>A34: missing input_in_0</t>
  </si>
  <si>
    <t>A34: missing input_in_1</t>
  </si>
  <si>
    <t>A34: missing input_in_2</t>
  </si>
  <si>
    <t>A34: missing input_in_3</t>
  </si>
  <si>
    <t>A34: missing input_in_4</t>
  </si>
  <si>
    <t>A34: missing input_in_5</t>
  </si>
  <si>
    <t>A34: missing input_in_6</t>
  </si>
  <si>
    <t>A34: missing input_in_7</t>
  </si>
  <si>
    <t>A34: missing output_out_0_IN|output_out_0_OUT</t>
  </si>
  <si>
    <t>A34: missing output_out_1_IN|output_out_1_OUT</t>
  </si>
  <si>
    <t>A34: missing output_out_2_IN|output_out_2_OUT</t>
  </si>
  <si>
    <t>A34: missing output_out_3_IN|output_out_3_OUT</t>
  </si>
  <si>
    <t>A37: missing VSSD</t>
  </si>
  <si>
    <t>A37: missing VDDD</t>
  </si>
  <si>
    <t>A37: missing VDDB</t>
  </si>
  <si>
    <t>A37: missing VSSB</t>
  </si>
  <si>
    <t>A40: missing PSRAM_SIO_0_IN|PSRAM_SIO_0_OUT</t>
  </si>
  <si>
    <t>A40: missing PSRAM_SIO_1_IN|PSRAM_SIO_1_OUT</t>
  </si>
  <si>
    <t>A40: missing PSRAM_SIO_2_IN|PSRAM_SIO_2_OUT</t>
  </si>
  <si>
    <t>A40: missing PSRAM_SIO_3_IN|PSRAM_SIO_3_OUT</t>
  </si>
  <si>
    <t>A43: missing AUDIO_OUT_L</t>
  </si>
  <si>
    <t>A43: missing SYS_CLK_60M</t>
  </si>
  <si>
    <t>A43: missing RESET_N</t>
  </si>
  <si>
    <t>D</t>
  </si>
  <si>
    <t>A43: missing DAC_FB_IN_L</t>
  </si>
  <si>
    <t>W18-W22,N01-N05</t>
  </si>
  <si>
    <t>350, 2035</t>
  </si>
  <si>
    <t>A43: missing USB_DP_PULL_IN|USB_DP_PULL_OUT</t>
  </si>
  <si>
    <t>A43: missing DAC_MOD_OUT_L_IN|DAC_MOD_OUT_L_OUT</t>
  </si>
  <si>
    <t>A43: missing USB_DP_IN|USB_DP_OUT</t>
  </si>
  <si>
    <t>A43: missing USB_DN_IN|USB_DN_OUT</t>
  </si>
  <si>
    <t>A45: missing gpio_out0_IN|gpio_out0_OUT</t>
  </si>
  <si>
    <t>A45: missing gpio_out1_IN|gpio_out1_OUT</t>
  </si>
  <si>
    <t>A45: missing gpio_out2_IN|gpio_out2_OUT</t>
  </si>
  <si>
    <t>CH</t>
  </si>
  <si>
    <t>A45: missing gpio_out3_IN|gpio_out3_OUT</t>
  </si>
  <si>
    <t>A45: missing gpio_out4_IN|gpio_out4_OUT</t>
  </si>
  <si>
    <t>A45: missing gpio_in0</t>
  </si>
  <si>
    <t>A45: missing gpio_in1</t>
  </si>
  <si>
    <t>A45: missing vdd</t>
  </si>
  <si>
    <t>A45: missing vss</t>
  </si>
  <si>
    <t>A48: pin entry 9 ('oINTERRUPT') has unsupported pad type 'bidirectionals'</t>
  </si>
  <si>
    <t>A49: analog pin entry 1 ('vin_p') does not specify whether secondary ESD protection is used</t>
  </si>
  <si>
    <t>A49: no layer 0/datatype 0 exists in GDS for TOP_LAYOUT 'sar_adc_top'</t>
  </si>
  <si>
    <t>CV</t>
  </si>
  <si>
    <t>A52: no layer 0/datatype 0 exists in GDS for TOP_LAYOUT 'fullydiffamp$2'</t>
  </si>
  <si>
    <t>N06-N11</t>
  </si>
  <si>
    <t>910, 1475</t>
  </si>
  <si>
    <t>A63: missing sda_pad_IN|sda_pad_OUT</t>
  </si>
  <si>
    <t>A64: TOP_LAYOUT cell 'fdda_top' not found in GDS</t>
  </si>
  <si>
    <t>A66: pin entry 1 ('CK0') has unsupported pad type 'output'</t>
  </si>
  <si>
    <t>A66: TOP_LAYOUT 'dry_run' has no top-level shapes on layer 0/datatype 0</t>
  </si>
  <si>
    <t>A68: missing vss</t>
  </si>
  <si>
    <t>A68: missing vdd</t>
  </si>
  <si>
    <t>BV</t>
  </si>
  <si>
    <t>B02: group 1 missing ground: VDD_1 CSENS CREF VCTRL CAPBANK[0] CAPBANK[1] CAPBANK[2] DFF_IN_SEL DFF_IN1 DFF_IN2 CHOP CCOSENS_OUT CCOREF_OUT DOUT</t>
  </si>
  <si>
    <t>W12-W22,N01-N05</t>
  </si>
  <si>
    <t>B02: no layer 0/datatype 0 exists in GDS for TOP_LAYOUT 'ABC123_SDC'</t>
  </si>
  <si>
    <t>B04: pin entry 7 ('trigger') has unsupported pad type 'output'</t>
  </si>
  <si>
    <t>B04: TOP_LAYOUT cell 'B04_top_test' not found in GDS</t>
  </si>
  <si>
    <t>B11: analog pin entry 5 ('B11_BMS_VINN_CH1') does not specify whether secondary ESD protection is used</t>
  </si>
  <si>
    <t>B18: TOP_LAYOUT 'B18_Probton' has no top-level shapes on layer 0/datatype 0</t>
  </si>
  <si>
    <t>BH</t>
  </si>
  <si>
    <t>C04: analog pin entry 16 ('SCDAC2_OUT') does not specify whether secondary ESD protection is used</t>
  </si>
  <si>
    <t>W18-W22,N01-N11</t>
  </si>
  <si>
    <t>C04: Stream has unknown format: /Users/kanobailey/chipathon/2026/gds/C04/DUT.gds in Layout.read</t>
  </si>
  <si>
    <t>C05: info.yaml does not contain a pin list (expected 'pins' or 'project.pins')</t>
  </si>
  <si>
    <t>C05: TOP_LAYOUT cell 'ota_gds' not found in GDS</t>
  </si>
  <si>
    <t>D04: info.yaml does not contain a pin list (expected 'pins' or 'project.pins')</t>
  </si>
  <si>
    <t>D05: analog pin entry 2 ('RFP') does not specify whether secondary ESD protection is used</t>
  </si>
  <si>
    <t>2:VDDA VDDD</t>
  </si>
  <si>
    <t>A</t>
  </si>
  <si>
    <t>2:VSSA VSSD</t>
  </si>
  <si>
    <t>D05: TOP_LAYOUT cell 'RFEH_FULL' not found in GDS</t>
  </si>
  <si>
    <t>W12-W22,N01-N11</t>
  </si>
  <si>
    <t>8:IBIAS ISS VTUNE CP_OUT Q_N I_N I_P Q_P</t>
  </si>
  <si>
    <t>D15: missing vdd</t>
  </si>
  <si>
    <t>0:</t>
  </si>
  <si>
    <t>1:REF_IN</t>
  </si>
  <si>
    <t>D15: missing vss</t>
  </si>
  <si>
    <t>D16: multiple top level cells</t>
  </si>
  <si>
    <t>A02</t>
  </si>
  <si>
    <t>ai_byte_top</t>
  </si>
  <si>
    <t>ai_byte_top.gds</t>
  </si>
  <si>
    <t>ACV</t>
  </si>
  <si>
    <t>W12-W22,N01-N16</t>
  </si>
  <si>
    <t>ACH</t>
  </si>
  <si>
    <t>W07-W22,N01-N11</t>
  </si>
  <si>
    <t>350, 910</t>
  </si>
  <si>
    <t>1:VDD</t>
  </si>
  <si>
    <t>1:VSS</t>
  </si>
  <si>
    <t>7:clk addr[0] addr[1] addr[2] addr[3] re we</t>
  </si>
  <si>
    <t>1:rst_n</t>
  </si>
  <si>
    <t>ACE</t>
  </si>
  <si>
    <t>12:data[7] data[5] data[6] data[4] data[0] data[1] data[2] data[3] irq debug_state[0] debug_state[2] debug_state[1]</t>
  </si>
  <si>
    <t>W07-W22,N01-N16</t>
  </si>
  <si>
    <t>A03</t>
  </si>
  <si>
    <t>A01_topcell</t>
  </si>
  <si>
    <t>sar_adc_logic.gds</t>
  </si>
  <si>
    <t>ACE2</t>
  </si>
  <si>
    <t>W07-W22,N01-N16,E16-E01,S22-S07</t>
  </si>
  <si>
    <t>350, 350</t>
  </si>
  <si>
    <t>0,0-560,560 &amp; 1675,1675-2235,2235</t>
  </si>
  <si>
    <t>info.yaml does not contain a pin list (expected 'pins' or 'project.pins'); TOP_LAYOUT cell 'A01_topcell' not found in GDS</t>
  </si>
  <si>
    <t>A06</t>
  </si>
  <si>
    <t>Markov_Chain_Accelerator</t>
  </si>
  <si>
    <t>Markov_Chain_Accelerator.gds</t>
  </si>
  <si>
    <r>
      <rPr/>
      <t xml:space="preserve">See </t>
    </r>
    <r>
      <rPr>
        <color rgb="FF1155CC"/>
        <u/>
      </rPr>
      <t>Chipathon 2026 padframe proposal</t>
    </r>
    <r>
      <rPr/>
      <t xml:space="preserve"> for details</t>
    </r>
  </si>
  <si>
    <t>1:*vdd</t>
  </si>
  <si>
    <t>1:*vss</t>
  </si>
  <si>
    <t>8:clk load_row_or_col spi_in1 input_ready spi_in3 spi_in0 spi_in2 output_valid</t>
  </si>
  <si>
    <t>5:spi_out0 spi_out3 spi_out2 spi_out1 output_ready</t>
  </si>
  <si>
    <t>1739:VDD VSS _01_ _02_ _03_ _04_ _05_ _06_ clknet_0_clk clknet_3_0_0_clk clknet_3_1_0_clk clknet_3_2_0_clk clknet_3_3_0_clk clknet_3_4_0_clk clknet_3_5_0_clk clknet_3_6_0_clk clknet_3_7_0_clk clknet_4_0__leaf_clk clknet_4_10__leaf_clk clknet_4_11__leaf_clk clknet_4_12__leaf_clk clknet_4_13__leaf_clk clknet_4_14__leaf_clk clknet_4_15__leaf_clk clknet_4_1__leaf_clk clknet_4_2__leaf_clk clknet_4_3__leaf_clk clknet_4_4__leaf_clk clknet_4_5__leaf_clk clknet_4_6__leaf_clk clknet_4_7__leaf_clk clknet_4_8__leaf_clk clknet_4_9__leaf_clk clknet_leaf_0_clk clknet_leaf_100_clk clknet_leaf_101_clk clknet_leaf_102_clk clknet_leaf_103_clk clknet_leaf_104_clk clknet_leaf_105_clk clknet_leaf_106_clk clknet_leaf_107_clk clknet_leaf_108_clk clknet_leaf_109_clk clknet_leaf_10_clk clknet_leaf_110_clk clknet_leaf_111_clk clknet_leaf_112_clk clknet_leaf_113_clk clknet_leaf_114_clk clknet_leaf_115_clk clknet_leaf_116_clk clknet_leaf_117_clk clknet_leaf_118_clk clknet_leaf_119_clk clknet_leaf_11_clk clknet_leaf_120_clk clknet_leaf_121_clk clknet_leaf_122_clk clknet_leaf_123_clk clknet_leaf_124_clk clknet_leaf_125_clk clknet_leaf_126_clk clknet_leaf_127_clk clknet_leaf_128_clk clknet_leaf_129_clk clknet_leaf_12_clk clknet_leaf_130_clk clknet_leaf_131_clk clknet_leaf_132_clk clknet_leaf_133_clk clknet_leaf_134_clk clknet_leaf_135_clk clknet_leaf_136_clk clknet_leaf_137_clk clknet_leaf_138_clk clknet_leaf_139_clk clknet_leaf_13_clk clknet_leaf_140_clk clknet_leaf_141_clk clknet_leaf_142_clk clknet_leaf_143_clk clknet_leaf_144_clk clknet_leaf_145_clk clknet_leaf_146_clk clknet_leaf_147_clk clknet_leaf_148_clk clknet_leaf_149_clk clknet_leaf_14_clk clknet_leaf_150_clk clknet_leaf_151_clk clknet_leaf_152_clk clknet_leaf_153_clk clknet_leaf_154_clk clknet_leaf_155_clk clknet_leaf_156_clk clknet_leaf_157_clk clknet_leaf_158_clk clknet_leaf_159_clk clknet_leaf_15_clk clknet_leaf_160_clk clknet_leaf_161_clk clknet_leaf_162_clk clknet_leaf_163_clk clknet_leaf_164_clk clknet_leaf_165_clk clknet_leaf_166_clk clknet_leaf_167_clk clknet_leaf_168_clk clknet_leaf_169_clk clknet_leaf_16_clk clknet_leaf_170_clk clknet_leaf_171_clk clknet_leaf_172_clk clknet_leaf_173_clk clknet_leaf_174_clk clknet_leaf_175_clk clknet_leaf_176_clk clknet_leaf_177_clk clknet_leaf_178_clk clknet_leaf_179_clk clknet_leaf_17_clk clknet_leaf_180_clk clknet_leaf_181_clk clknet_leaf_182_clk clknet_leaf_183_clk clknet_leaf_184_clk clknet_leaf_185_clk clknet_leaf_186_clk clknet_leaf_187_clk clknet_leaf_18_clk clknet_leaf_19_clk clknet_leaf_1_clk clknet_leaf_20_clk clknet_leaf_21_clk clknet_leaf_22_clk clknet_leaf_23_clk clknet_leaf_24_clk clknet_leaf_25_clk clknet_leaf_26_clk clknet_leaf_27_clk clknet_leaf_28_clk clknet_leaf_29_clk clknet_leaf_2_clk clknet_leaf_30_clk clknet_leaf_31_clk clknet_leaf_32_clk clknet_leaf_33_clk clknet_leaf_34_clk clknet_leaf_35_clk clknet_leaf_36_clk clknet_leaf_37_clk clknet_leaf_38_clk clknet_leaf_39_clk clknet_leaf_3_clk clknet_leaf_40_clk clknet_leaf_41_clk clknet_leaf_42_clk clknet_leaf_44_clk clknet_leaf_45_clk clknet_leaf_46_clk clknet_leaf_47_clk clknet_leaf_48_clk clknet_leaf_49_clk clknet_leaf_4_clk clknet_leaf_50_clk clknet_leaf_51_clk clknet_leaf_52_clk clknet_leaf_53_clk clknet_leaf_54_clk clknet_leaf_55_clk clknet_leaf_56_clk clknet_leaf_57_clk clknet_leaf_58_clk clknet_leaf_59_clk clknet_leaf_5_clk clknet_leaf_61_clk clknet_leaf_62_clk clknet_leaf_63_clk clknet_leaf_64_clk clknet_leaf_65_clk clknet_leaf_66_clk clknet_leaf_67_clk clknet_leaf_68_clk clknet_leaf_69_clk clknet_leaf_6_clk clknet_leaf_70_clk clknet_leaf_71_clk clknet_leaf_72_clk clknet_leaf_73_clk clknet_leaf_74_clk clknet_leaf_75_clk clknet_leaf_76_clk clknet_leaf_77_clk clknet_leaf_78_clk clknet_leaf_79_clk clknet_leaf_7_clk clknet_leaf_80_clk clknet_leaf_81_clk clknet_leaf_82_clk clknet_leaf_83_clk clknet_leaf_84_clk clknet_leaf_85_clk clknet_leaf_86_clk clknet_leaf_87_clk clknet_leaf_88_clk clknet_leaf_89_clk clknet_leaf_8_clk clknet_leaf_90_clk clknet_leaf_91_clk clknet_leaf_92_clk clknet_leaf_93_clk clknet_leaf_94_clk clknet_leaf_95_clk clknet_leaf_96_clk clknet_leaf_98_clk clknet_leaf_99_clk clknet_leaf_9_clk mode_col_g0 mode_col_g1 mode_col_g2 mode_col_g3 mode_row_g0 mode_row_g1 mode_row_g2 mode_row_g3 net1 net10 net100 net1000 net1001 net1002 net1003 net1004 net1005 net1006 net1007 net1008 net1009 net101 net1010 net1011 net1012 net1013 net1014 net1015 net1016 net1017 net1018 net1019 net102 net1020 net1021 net1022 net1023 net1024 net1025 net1026 net1027 net1028 net1029 net103 net1030 net1031 net1032 net1033 net1034 net1035 net1036 net1037 net1038 net1039 net104 net1040 net1041 net1042 net1043 net1044 net1045 net1046 net1047 net1048 net1049 net105 net1050 net1051 net1052 net1053 net1054 net1055 net1056 net1057 net1058 net1059 net106 net1060 net1061 net1062 net1063 net1064 net1065 net1066 net1067 net1068 net1069 net107 net1070 net1071 net1072 net1073 net1074 net1075 net1076 net1077 net1078 net1079 net108 net1080 net1081 net1082 net1083 net1084 net1085 net1086 net1087 net1088 net1089 net109 net1090 net1091 net1092 net1093 net1094 net1095 net1096 net1097 net1098 net1099 net11 net110 net1100 net1101 net1102 net1103 net1104 net1105 net1106 net1107 net1108 net1109 net111 net1110 net1111 net1112 net1113 net1114 net1115 net1116 net1117 net1118 net1119 net112 net1120 net1121 net1122 net1123 net1124 net1125 net1126 net1127 net1128 net1129 net113 net1130 net1131 net1132 net1133 net1134 net1135 net1136 net1137 net1138 net1139 net114 net1140 net1141 net1142 net1143 net1144 net1145 net1146 net1147 net1148 net1149 net115 net1150 net1151 net1152 net1153 net1154 net1155 net1156 net1157 net1158 net1159 net116 net1160 net1161 net1162 net1163 net1164 net1165 net1166 net1167 net1168 net1169 net117 net1170 net1171 net1172 net1173 net1174 net1175 net1176 net1177 net1178 net1179 net118 net1180 net1181 net1182 net1183 net1184 net1185 net1186 net1187 net1188 net1189 net119 net1190 net1191 net1192 net1193 net1194 net1195 net1196 net1197 net1198 net1199 net12 net120 net1200 net1201 net1202 net1203 net1204 net1205 net1206 net1207 net1208 net1209 net121 net1210 net1211 net1212 net1213 net1214 net1215 net1216 net1217 net1218 net1219 net122 net1220 net1221 net1222 net1223 net1224 net1225 net1226 net1227 net1228 net1229 net123 net1230 net1231 net1232 net1233 net1234 net1235 net1236 net1237 net1238 net1239 net124 net1240 net1241 net1242 net1243 net1244 net1245 net1246 net1247 net1248 net1249 net125 net1250 net1251 net1252 net1253 net1254 net1255 net1256 net1257 net1258 net1259 net126 net1260 net1261 net1262 net1263 net1264 net1265 net1266 net1267 net1268 net1269 net127 net1270 net1271 net1272 net1273 net1274 net1275 net1276 net1277 net1278 net1279 net128 net1280 net1281 net1282 net1283 net1284 net1285 net1286 net1287 net1288 net1289 net129 net1290 net1291 net1292 net1293 net1294 net1295 net1296 net1297 net1298 net1299 net13 net130 net1300 net1301 net1302 net1303 net1304 net1305 net1306 net1307 net1308 net1309 net131 net1310 net1311 net1312 net1313 net1314 net1315 net1316 net1317 net1318 net1319 net132 net1320 net1321 net1322 net1323 net1324 net1325 net1326 net1327 net1328 net1329 net133 net1330 net1331 net1332 net1333 net1334 net1335 net1336 net1337 net1338 net1339 net134 net1340 net1341 net1342 net1343 net1344 net1345 net1346 net1347 net1348 net1349 net135 net1350 net1351 net1352 net1353 net1354 net1355 net1356 net1357 net1358 net1359 net136 net1360 net1361 net1362 net1363 net1364 net1365 net1366 net1367 net1368 net1369 net137 net1370 net1371 net1372 net1373 net1374 net1375 net1376 net1377 net1378 net1379 net138 net1380 net1381 net1382 net1383 net1384 net1385 net1386 net1387 net1388 net1389 net139 net1390 net1391 net1392 net1393 net1394 net1395 net1396 net1397 net1398 net1399 net14 net140 net1400 net1401 net1402 net1403 net1404 net1405 net1406 net1407 net1408 net1409 net141 net1410 net1411 net1412 net1413 net1414 net1415 net1416 net1417 net1418 net1419 net142 net1420 net1421 net1422 net1423 net1424 net1425 net1426 net1427 net1428 net1429 net143 net1430 net1431 net1432 net1433 net1434 net1435 net1436 net1437 net1438 net1439 net144 net1440 net1441 net1442 net1443 net1444 net1445 net1446 net1447 net1448 net1449 net145 net1450 net1451 net1452 net1453 net1454 net1455 net1456 net1457 net1458 net1459 net146 net1460 net1461 net1462 net1463 net1464 net1465 net1466 net1467 net1468 net1469 net147 net1470 net1471 net1472 net1473 net1474 net1475 net1476 net1477 net1478 net1479 net148 net1480 net1481 net1482 net1483 net1484 net1485 net1486 net1487 net1488 net1489 net149 net1490 net1491 net1492 net1493 net1494 net1495 net1496 net1497 net1498 net1499 net15 net150 net1500 net1501 net1502 net1503 net1504 net1505 net1506 net1507 net1508 net1509 net151 net1510 net1511 net1512 net1513 net152 net153 net154 net155 net156 net157 net158 net159 net16 net160 net161 net162 net163 net164 net165 net166 net167 net168 net169 net17 net170 net171 net172 net173 net174 net175 net176 net177 net178 net179 net18 net180 net181 net182 net183 net184 net185 net186 net187 net188 net189 net19 net190 net191 net192 net193 net194 net195 net196 net197 net198 net199 net2 net20 net200 net201 net202 net203 net204 net205 net206 net207 net208 net209 net21 net210 net211 net212 net213 net214 net215 net216 net217 net218 net219 net22 net220 net221 net222 net223 net224 net225 net226 net227 net228 net229 net23 net230 net231 net232 net233 net234 net235 net236 net237 net238 net239 net24 net240 net241 net242 net243 net244 net245 net246 net247 net248 net249 net25 net250 net251 net252 net253 net254 net255 net256 net257 net258 net259 net26 net260 net261 net262 net263 net264 net265 net266 net267 net268 net269 net27 net270 net271 net272 net273 net274 net275 net276 net277 net278 net279 net28 net280 net281 net282 net283 net284 net285 net286 net287 net288 net289 net29 net290 net291 net292 net293 net294 net295 net296 net297 net298 net299 net3 net30 net300 net301 net302 net303 net304 net305 net306 net307 net308 net309 net31 net310 net311 net312 net313 net314 net315 net316 net317 net318 net319 net32 net320 net321 net322 net323 net324 net325 net326 net327 net328 net329 net33 net330 net331 net332 net333 net334 net335 net336 net337 net338 net339 net34 net340 net341 net342 net343 net344 net345 net346 net347 net348 net349 net35 net350 net351 net352 net353 net354 net355 net356 net357 net358 net359 net36 net360 net361 net362 net363 net364 net365 net366 net367 net368 net369 net37 net370 net371 net372 net373 net374 net375 net376 net377 net378 net379 net38 net380 net381 net382 net383 net384 net385 net386 net387 net388 net389 net39 net390 net391 net392 net393 net394 net395 net396 net397 net398 net399 net4 net40 net400 net401 net402 net403 net404 net405 net406 net407 net408 net409 net41 net410 net411 net412 net413 net414 net415 net416 net417 net418 net419 net42 net420 net421 net422 net423 net424 net425 net426 net427 net428 net429 net43 net430 net431 net432 net433 net434 net435 net436 net437 net438 net439 net44 net440 net441 net442 net443 net444 net445 net446 net447 net448 net449 net45 net450 net451 net452 net453 net454 net455 net456 net457 net458 net459 net46 net460 net461 net462 net463 net464 net465 net466 net467 net468 net469 net47 net470 net471 net472 net473 net474 net475 net476 net477 net478 net479 net48 net480 net481 net482 net483 net484 net485 net486 net487 net488 net489 net49 net490 net491 net492 net493 net494 net495 net496 net497 net498 net499 net5 net50 net500 net501 net502 net503 net504 net505 net506 net507 net508 net509 net51 net510 net511 net512 net513 net514 net515 net516 net517 net518 net519 net52 net520 net521 net522 net523 net524 net525 net526 net527 net528 net529 net53 net530 net531 net532 net533 net534 net535 net536 net537 net538 net539 net54 net540 net541 net542 net543 net544 net545 net546 net547 net548 net549 net55 net550 net551 net552 net553 net554 net555 net556 net557 net558 net559 net56 net560 net561 net562 net563 net564 net565 net566 net567 net568 net569 net57 net570 net571 net572 net573 net574 net575 net576 net577 net578 net579 net58 net580 net581 net582 net583 net584 net585 net586 net587 net588 net589 net59 net590 net591 net592 net593 net594 net595 net596 net597 net598 net599 net6 net60 net600 net601 net602 net603 net604 net605 net606 net607 net608 net609 net61 net610 net611 net612 net613 net614 net615 net616 net617 net618 net619 net62 net620 net621 net622 net623 net624 net625 net626 net627 net628 net629 net63 net630 net631 net632 net633 net634 net635 net636 net637 net638 net639 net64 net640 net641 net642 net643 net644 net645 net646 net647 net648 net649 net65 net650 net651 net652 net653 net654 net655 net656 net657 net658 net659 net66 net660 net661 net662 net663 net664 net665 net666 net667 net668 net669 net67 net670 net671 net672 net673 net674 net675 net676 net677 net678 net679 net68 net680 net681 net682 net683 net684 net685 net686 net687 net688 net689 net69 net690 net691 net692 net693 net694 net695 net696 net697 net698 net699 net7 net70 net700 net701 net702 net703 net704 net705 net706 net707 net708 net709 net71 net710 net711 net712 net713 net714 net715 net716 net717 net718 net719 net72 net720 net721 net722 net723 net724 net725 net726 net727 net728 net729 net73 net730 net731 net732 net733 net734 net735 net736 net737 net738 net739 net74 net740 net741 net742 net743 net744 net745 net746 net747 net748 net749 net75 net750 net751 net752 net753 net754 net755 net756 net757 net758 net759 net76 net760 net761 net762 net763 net764 net765 net766 net767 net768 net769 net77 net770 net771 net772 net773 net774 net775 net776 net777 net778 net779 net78 net780 net781 net782 net783 net784 net785 net786 net787 net788 net789 net79 net790 net791 net792 net793 net794 net795 net796 net797 net798 net799 net8 net80 net800 net801 net802 net803 net804 net805 net806 net807 net808 net809 net81 net810 net811 net812 net813 net814 net815 net816 net817 net818 net819 net82 net820 net821 net822 net823 net824 net825 net826 net827 net828 net829 net83 net830 net831 net832 net833 net834 net835 net836 net837 net838 net839 net84 net840 net841 net842 net843 net844 net845 net846 net847 net848 net849 net85 net850 net851 net852 net853 net854 net855 net856 net857 net858 net859 net86 net860 net861 net862 net863 net864 net865 net866 net867 net868 net869 net87 net870 net871 net872 net873 net874 net875 net876 net877 net878 net879 net88 net880 net881 net882 net883 net884 net885 net886 net887 net888 net889 net89 net890 net891 net892 net893 net894 net895 net896 net897 net898 net899 net9 net90 net900 net901 net902 net903 net904 net905 net906 net907 net908 net909 net91 net910 net911 net912 net913 net914 net915 net916 net917 net918 net919 net92 net920 net921 net922 net923 net924 net925 net926 net927 net928 net929 net93 net930 net931 net932 net933 net934 net935 net936 net937 net938 net939 net94 net940 net941 net942 net943 net944 net945 net946 net947 net948 net949 net95 net950 net951 net952 net953 net954 net955 net956 net957 net958 net959 net96 net960 net961 net962 net963 net964 net965 net966 net967 net968 net969 net97 net970 net971 net972 net973 net974 net975 net976 net977 net978 net979 net98 net980 net981 net982 net983 net984 net985 net986 net987 net988 net989 net99 net990 net991 net992 net993 net994 net995 net996 net997 net998 net999</t>
  </si>
  <si>
    <t>missing vdd; missing vss</t>
  </si>
  <si>
    <t>A07</t>
  </si>
  <si>
    <t>A07_dcim_top</t>
  </si>
  <si>
    <t>A07_dcim_top.gds</t>
  </si>
  <si>
    <t>8:rst_n a_bit w_bit start cont P_minus1[0] P_minus1[1] P_minus1[2]</t>
  </si>
  <si>
    <t>1:clk</t>
  </si>
  <si>
    <t>3:y_bit done busy</t>
  </si>
  <si>
    <t>A09</t>
  </si>
  <si>
    <t>a09_chipathon26_top</t>
  </si>
  <si>
    <t>a09_chipathon26_top.gds</t>
  </si>
  <si>
    <t>2:rst_n uart_rx</t>
  </si>
  <si>
    <t>8:uart_tx qspi_csn[0] qspi_csn[1] qspi_sck qspi_io[0] qspi_io[1] qspi_io[2] qspi_io[3]</t>
  </si>
  <si>
    <t>A10</t>
  </si>
  <si>
    <t>spi_slave</t>
  </si>
  <si>
    <t>spi_slave.gds</t>
  </si>
  <si>
    <t>6:clk rst_n sclk mosi cs_n miso</t>
  </si>
  <si>
    <t>A12</t>
  </si>
  <si>
    <t>grouper_soc_chip_core</t>
  </si>
  <si>
    <t>grouper_soc_chip_core.gds</t>
  </si>
  <si>
    <t>1:uart_rx</t>
  </si>
  <si>
    <t>2:clk rst_n</t>
  </si>
  <si>
    <t>17:uart_tx *gpio_0 *gpio_1 *gpio_2 *gpio_3 *gpio_4 *gpio_5 *gpio_6 *gpio_7 *gpio_8 *gpio_9 *gpio_10 *gpio_11 *gpio_12 *gpio_13 *gpio_14 *gpio_15</t>
  </si>
  <si>
    <t>128:gpio_0_bidir_cs gpio_0_bidir_ie gpio_0_bidir_in gpio_0_bidir_oe gpio_0_bidir_out gpio_0_bidir_pd gpio_0_bidir_pu gpio_0_bidir_sl gpio_10_bidir_cs gpio_10_bidir_ie gpio_10_bidir_in gpio_10_bidir_oe gpio_10_bidir_out gpio_10_bidir_pd gpio_10_bidir_pu gpio_10_bidir_sl gpio_11_bidir_cs gpio_11_bidir_ie gpio_11_bidir_in gpio_11_bidir_oe gpio_11_bidir_out gpio_11_bidir_pd gpio_11_bidir_pu gpio_11_bidir_sl gpio_12_bidir_cs gpio_12_bidir_ie gpio_12_bidir_in gpio_12_bidir_oe gpio_12_bidir_out gpio_12_bidir_pd gpio_12_bidir_pu gpio_12_bidir_sl gpio_13_bidir_cs gpio_13_bidir_ie gpio_13_bidir_in gpio_13_bidir_oe gpio_13_bidir_out gpio_13_bidir_pd gpio_13_bidir_pu gpio_13_bidir_sl gpio_14_bidir_cs gpio_14_bidir_ie gpio_14_bidir_in gpio_14_bidir_oe gpio_14_bidir_out gpio_14_bidir_pd gpio_14_bidir_pu gpio_14_bidir_sl gpio_15_bidir_cs gpio_15_bidir_ie gpio_15_bidir_in gpio_15_bidir_oe gpio_15_bidir_out gpio_15_bidir_pd gpio_15_bidir_pu gpio_15_bidir_sl gpio_1_bidir_cs gpio_1_bidir_ie gpio_1_bidir_in gpio_1_bidir_oe gpio_1_bidir_out gpio_1_bidir_pd gpio_1_bidir_pu gpio_1_bidir_sl gpio_2_bidir_cs gpio_2_bidir_ie gpio_2_bidir_in gpio_2_bidir_oe gpio_2_bidir_out gpio_2_bidir_pd gpio_2_bidir_pu gpio_2_bidir_sl gpio_3_bidir_cs gpio_3_bidir_ie gpio_3_bidir_in gpio_3_bidir_oe gpio_3_bidir_out gpio_3_bidir_pd gpio_3_bidir_pu gpio_3_bidir_sl gpio_4_bidir_cs gpio_4_bidir_ie gpio_4_bidir_in gpio_4_bidir_oe gpio_4_bidir_out gpio_4_bidir_pd gpio_4_bidir_pu gpio_4_bidir_sl gpio_5_bidir_cs gpio_5_bidir_ie gpio_5_bidir_in gpio_5_bidir_oe gpio_5_bidir_out gpio_5_bidir_pd gpio_5_bidir_pu gpio_5_bidir_sl gpio_6_bidir_cs gpio_6_bidir_ie gpio_6_bidir_in gpio_6_bidir_oe gpio_6_bidir_out gpio_6_bidir_pd gpio_6_bidir_pu gpio_6_bidir_sl gpio_7_bidir_cs gpio_7_bidir_ie gpio_7_bidir_in gpio_7_bidir_oe gpio_7_bidir_out gpio_7_bidir_pd gpio_7_bidir_pu gpio_7_bidir_sl gpio_8_bidir_cs gpio_8_bidir_ie gpio_8_bidir_in gpio_8_bidir_oe gpio_8_bidir_out gpio_8_bidir_pd gpio_8_bidir_pu gpio_8_bidir_sl gpio_9_bidir_cs gpio_9_bidir_ie gpio_9_bidir_in gpio_9_bidir_oe gpio_9_bidir_out gpio_9_bidir_pd gpio_9_bidir_pu gpio_9_bidir_sl</t>
  </si>
  <si>
    <t>missing gpio_0_IN|gpio_0_OUT; missing gpio_1_IN|gpio_1_OUT; missing gpio_2_IN|gpio_2_OUT; missing gpio_3_IN|gpio_3_OUT; missing gpio_4_IN|gpio_4_OUT; missing gpio_5_IN|gpio_5_OUT; missing gpio_6_IN|gpio_6_OUT; missing gpio_7_IN|gpio_7_OUT; missing gpio_8_IN|gpio_8_OUT; missing gpio_9_IN|gpio_9_OUT; missing gpio_10_IN|gpio_10_OUT; missing gpio_11_IN|gpio_11_OUT; missing gpio_12_IN|gpio_12_OUT; missing gpio_13_IN|gpio_13_OUT; missing gpio_14_IN|gpio_14_OUT; missing gpio_15_IN|gpio_15_OUT</t>
  </si>
  <si>
    <t>A13</t>
  </si>
  <si>
    <t>adc_top</t>
  </si>
  <si>
    <t>adc_chip_top.gds</t>
  </si>
  <si>
    <t>1:VIN</t>
  </si>
  <si>
    <t>1:RST_N</t>
  </si>
  <si>
    <t>1:CLK</t>
  </si>
  <si>
    <t>9:EOC BIT_0 BIT_1 BIT_2 BIT_3 BIT_4 BIT_5 BIT_6 BIT_7</t>
  </si>
  <si>
    <t>A19</t>
  </si>
  <si>
    <t>22:VDD VSS analog_PAD bidir_PAD[0] bidir_PAD[10] bidir_PAD[11] bidir_PAD[1] bidir_PAD[2] bidir_PAD[3] bidir_PAD[4] bidir_PAD[5] bidir_PAD[6] bidir_PAD[7] bidir_PAD[8] bidir_PAD[9] clk_PAD input_PAD[0] input_PAD[1] input_PAD[2] input_PAD[3] input_PAD[4] rst_n_PAD</t>
  </si>
  <si>
    <t>info.yaml does not contain a pin list (expected 'pins' or 'project.pins')</t>
  </si>
  <si>
    <t>A20</t>
  </si>
  <si>
    <t>system_top</t>
  </si>
  <si>
    <t>system_top.gds</t>
  </si>
  <si>
    <t>6:clk rst_n uart_rx mosi sck cs_n</t>
  </si>
  <si>
    <t>1:miso</t>
  </si>
  <si>
    <t>2:VDD VSS</t>
  </si>
  <si>
    <t>missing vss; missing vdd</t>
  </si>
  <si>
    <t>A23</t>
  </si>
  <si>
    <t>sar_adc_10b</t>
  </si>
  <si>
    <t>sar_adc_10b.gds</t>
  </si>
  <si>
    <t>3:Vin VRP VRN</t>
  </si>
  <si>
    <t>2:CLK SAMP</t>
  </si>
  <si>
    <t>11:B[9] B[8] B[7] B[6] B[5] B[4] B[3] B[2] B[1] B[0] eoc</t>
  </si>
  <si>
    <t>TOP_LAYOUT 'sar_adc_10b' has no top-level shapes on layer 0/datatype 0</t>
  </si>
  <si>
    <t>A28</t>
  </si>
  <si>
    <t>bgr_top_firstcut</t>
  </si>
  <si>
    <t>bgr_top_firstcut.gds</t>
  </si>
  <si>
    <t>info.yaml does not contain a pin list (expected 'pins' or 'project.pins'); TOP_LAYOUT 'bgr_top_firstcut' has no top-level shapes on layer 0/datatype 0</t>
  </si>
  <si>
    <t>A30</t>
  </si>
  <si>
    <t>qspi_chip_top</t>
  </si>
  <si>
    <t>qspi_chip_top.gds</t>
  </si>
  <si>
    <t>1:reset</t>
  </si>
  <si>
    <t>2:uart_rx spi_miso</t>
  </si>
  <si>
    <t>12:*spi_data0 *spi_data1 *spi_data2 *spi_data3 spi_clk_out spi_flash_select spi_ram_a_select uart_tx spi_select disp_spi_clk_out spi_mosi spi_dc</t>
  </si>
  <si>
    <t>14:VDD VSS spi_data_in[0] spi_data_in[1] spi_data_in[2] spi_data_in[3] spi_data_oe[0] spi_data_oe[1] spi_data_oe[2] spi_data_oe[3] spi_data_out[0] spi_data_out[1] spi_data_out[2] spi_data_out[3]</t>
  </si>
  <si>
    <t>missing vss; missing spi_data0_IN|spi_data0_OUT; missing spi_data1_IN|spi_data1_OUT; missing spi_data2_IN|spi_data2_OUT; missing spi_data3_IN|spi_data3_OUT; missing vdd</t>
  </si>
  <si>
    <t>A34</t>
  </si>
  <si>
    <t>chip_core</t>
  </si>
  <si>
    <t>chip_core.gds</t>
  </si>
  <si>
    <t>9:clk *input_in_0 *input_in_1 *input_in_2 *input_in_3 *input_in_4 *input_in_5 *input_in_6 *input_in_7</t>
  </si>
  <si>
    <t>4:*output_out_0 *output_out_1 *output_out_2 *output_out_3</t>
  </si>
  <si>
    <t>57:analog bidir_cs[0] bidir_cs[1] bidir_cs[2] bidir_cs[3] bidir_ie[0] bidir_ie[1] bidir_ie[2] bidir_ie[3] bidir_in[0] bidir_in[1] bidir_in[2] bidir_in[3] bidir_oe[0] bidir_oe[1] bidir_oe[2] bidir_oe[3] bidir_out[0] bidir_out[1] bidir_out[2] bidir_out[3] bidir_pd[0] bidir_pd[1] bidir_pd[2] bidir_pd[3] bidir_pu[0] bidir_pu[1] bidir_pu[2] bidir_pu[3] bidir_sl[0] bidir_sl[1] bidir_sl[2] bidir_sl[3] input_in[0] input_in[1] input_in[2] input_in[3] input_in[4] input_in[5] input_in[6] input_in[7] input_pd[0] input_pd[1] input_pd[2] input_pd[3] input_pd[4] input_pd[5] input_pd[6] input_pd[7] input_pu[0] input_pu[1] input_pu[2] input_pu[3] input_pu[4] input_pu[5] input_pu[6] input_pu[7]</t>
  </si>
  <si>
    <t>missing input_in_0; missing input_in_1; missing input_in_2; missing input_in_3; missing input_in_4; missing input_in_5; missing input_in_6; missing input_in_7; missing output_out_0_IN|output_out_0_OUT; missing output_out_1_IN|output_out_1_OUT; missing output_out_2_IN|output_out_2_OUT; missing output_out_3_IN|output_out_3_OUT</t>
  </si>
  <si>
    <t>A37</t>
  </si>
  <si>
    <t>integration_final</t>
  </si>
  <si>
    <t>integration_final.gds</t>
  </si>
  <si>
    <t>2:VDDD VDDB</t>
  </si>
  <si>
    <t>2:VSSD VSSB</t>
  </si>
  <si>
    <t>3:i_clk i_rst_n i_uart_rx</t>
  </si>
  <si>
    <t>1:o_uart_tx</t>
  </si>
  <si>
    <t>A40</t>
  </si>
  <si>
    <t>trouper_top</t>
  </si>
  <si>
    <t>trouper_top.gds</t>
  </si>
  <si>
    <t>10:IQ_DATA_I_0 IQ_DATA_Q_0 IQ_DATA_I_1 IQ_DATA_Q_1 IQ_DATA_I_2 IQ_DATA_Q_2 IQ_DATA_I_3 IQ_DATA_Q_3 IQ_CLK SPI_MOSI</t>
  </si>
  <si>
    <t>3:RESETB HOST_CS SPI_SCK</t>
  </si>
  <si>
    <t>9:REMOD_A_I REMOD_A_Q PSRAM_CE_N *PSRAM_SIO_0 *PSRAM_SIO_1 *PSRAM_SIO_2 *PSRAM_SIO_3 SPI_MISO IRQ_OUT</t>
  </si>
  <si>
    <t>1:PSRAM_SCK</t>
  </si>
  <si>
    <t>40:GRP_ADDR_0 GRP_ADDR_1 GRP_ADDR_2 GRP_ADDR_3 GRP_ADDR_4 GRP_ADDR_5 GRP_ADDR_6 GRP_ADDR_7 GRP_RDATA_0 GRP_RDATA_1 GRP_RDATA_2 GRP_RDATA_3 GRP_RDATA_4 GRP_RDATA_5 GRP_RDATA_6 GRP_RDATA_7 GRP_RE GRP_READY GRP_WDATA_0 GRP_WDATA_1 GRP_WDATA_2 GRP_WDATA_3 GRP_WDATA_4 GRP_WDATA_5 GRP_WDATA_6 GRP_WDATA_7 GRP_WE IRQ_GROUPER PSRAM_SIO_IN_0 PSRAM_SIO_IN_1 PSRAM_SIO_IN_2 PSRAM_SIO_IN_3 PSRAM_SIO_OE_0 PSRAM_SIO_OE_1 PSRAM_SIO_OE_2 PSRAM_SIO_OE_3 PSRAM_SIO_OUT_0 PSRAM_SIO_OUT_1 PSRAM_SIO_OUT_2 PSRAM_SIO_OUT_3</t>
  </si>
  <si>
    <t>missing PSRAM_SIO_0_IN|PSRAM_SIO_0_OUT; missing PSRAM_SIO_1_IN|PSRAM_SIO_1_OUT; missing PSRAM_SIO_2_IN|PSRAM_SIO_2_OUT; missing PSRAM_SIO_3_IN|PSRAM_SIO_3_OUT</t>
  </si>
  <si>
    <t>A43</t>
  </si>
  <si>
    <t>ic_top_usb_audio</t>
  </si>
  <si>
    <t>ic_top_usb_audio.gds</t>
  </si>
  <si>
    <t>1:*AUDIO_OUT_L</t>
  </si>
  <si>
    <t>2:*RESET_N *DAC_FB_IN_L</t>
  </si>
  <si>
    <t>1:*SYS_CLK_60M</t>
  </si>
  <si>
    <t>4:*USB_DP_PULL *DAC_MOD_OUT_L *USB_DP *USB_DN</t>
  </si>
  <si>
    <t>6:bitstream_out clk60mhz reset_n usb_dn usb_dp usb_dp_pull</t>
  </si>
  <si>
    <t>missing AUDIO_OUT_L; missing SYS_CLK_60M; missing RESET_N; missing DAC_FB_IN_L; missing USB_DP_PULL_IN|USB_DP_PULL_OUT; missing DAC_MOD_OUT_L_IN|DAC_MOD_OUT_L_OUT; missing USB_DP_IN|USB_DP_OUT; missing USB_DN_IN|USB_DN_OUT</t>
  </si>
  <si>
    <t>A44</t>
  </si>
  <si>
    <t>A44_SAR_ADC_CORE_1000_R3_DUMMY_FILL_REPAIR</t>
  </si>
  <si>
    <t>A44_SAR_ADC_CORE_1000.gds</t>
  </si>
  <si>
    <t>1:GND</t>
  </si>
  <si>
    <t>4:VREFN VINN VINP VREFP</t>
  </si>
  <si>
    <t>1:CLKS</t>
  </si>
  <si>
    <t>8:DOUT[7] DOUT[6] DOUT[5] DOUT[4] DOUT[3] DOUT[2] DOUT[1] DOUT[0]</t>
  </si>
  <si>
    <t>20:CLKS_CORE CMPCK DCMPN DCMPP DCTRLN[1] DCTRLN[2] DCTRLN[3] DCTRLN[4] DCTRLN[5] DCTRLN[6] DCTRLN[7] DCTRLP[1] DCTRLP[2] DCTRLP[3] DCTRLP[4] DCTRLP[5] DCTRLP[6] DCTRLP[7] VFON VFOP</t>
  </si>
  <si>
    <t>A45</t>
  </si>
  <si>
    <t>chip_top_full</t>
  </si>
  <si>
    <t>chip_top_full.gds</t>
  </si>
  <si>
    <t>8:clk_int scan_in scan_shift scan_load scan_i0o1 gpio_in[0] gpio_in[1] uart_rx</t>
  </si>
  <si>
    <t>10:scan_out gpio_out[0] gpio_out[1] gpio_out[2] gpio_out[3] gpio_out[4] uart_tx spi_sclk spi_mosi spi_cs_n</t>
  </si>
  <si>
    <t>A48</t>
  </si>
  <si>
    <t>trc_top</t>
  </si>
  <si>
    <t>trc_top.gds</t>
  </si>
  <si>
    <t>23:VDD VSS iCLK iRST iSPI_CS iSPI_MOSI iSPI_SCK oINTERRUPT_CS oINTERRUPT_IE oINTERRUPT_IN oINTERRUPT_OE oINTERRUPT_OUT oINTERRUPT_PD oINTERRUPT_PU oINTERRUPT_SL oSPI_MISO_CS oSPI_MISO_IE oSPI_MISO_IN oSPI_MISO_OE oSPI_MISO_OUT oSPI_MISO_PD oSPI_MISO_PU oSPI_MISO_SL</t>
  </si>
  <si>
    <t>pin entry 9 ('oINTERRUPT') has unsupported pad type 'bidirectionals'</t>
  </si>
  <si>
    <t>A49</t>
  </si>
  <si>
    <t>sar_adc_top</t>
  </si>
  <si>
    <t>sar_adc_top.gds</t>
  </si>
  <si>
    <t>analog pin entry 1 ('vin_p') does not specify whether secondary ESD protection is used; no layer 0/datatype 0 exists in GDS for TOP_LAYOUT 'sar_adc_top'</t>
  </si>
  <si>
    <t>A52</t>
  </si>
  <si>
    <t>fullydiffamp$2</t>
  </si>
  <si>
    <t>fullydiffamp_routed.gds</t>
  </si>
  <si>
    <t>2:AVDD DVDD</t>
  </si>
  <si>
    <t>2:AVSS DVSS</t>
  </si>
  <si>
    <t>4:Vin+ Vin- Vbiasp Vbiasn</t>
  </si>
  <si>
    <t>1:rst</t>
  </si>
  <si>
    <t>1:in_clk</t>
  </si>
  <si>
    <t>12:out_cic[0] out_cic[1] out_cic[2] out_cic[3] out_cic[4] out_cic[5] out_cic[6] out_cic[7] out_cic[8] out_cic[9] out_cic[10] out_cic[11]</t>
  </si>
  <si>
    <t>no layer 0/datatype 0 exists in GDS for TOP_LAYOUT 'fullydiffamp$2'</t>
  </si>
  <si>
    <t>A54</t>
  </si>
  <si>
    <t>lstm16x_top</t>
  </si>
  <si>
    <t>lstm16x_top.gds</t>
  </si>
  <si>
    <t>9:cmd_valid cmd_data[0] cmd_data[1] cmd_data[2] cmd_data[3] cmd_data[4] cmd_data[5] cmd_data[6] cmd_data[7]</t>
  </si>
  <si>
    <t>9:rsp_data[0] rsp_data[1] rsp_data[2] rsp_data[3] rsp_data[4] rsp_data[5] rsp_data[6] rsp_data[7] rsp_valid</t>
  </si>
  <si>
    <t>A56</t>
  </si>
  <si>
    <t>dla_engine_chip</t>
  </si>
  <si>
    <t>dla_engine_chip.gds</t>
  </si>
  <si>
    <t>1:DVDD</t>
  </si>
  <si>
    <t>1:DVSS</t>
  </si>
  <si>
    <t>7:SCLK MOSI CS_N MISO busy done wb_done</t>
  </si>
  <si>
    <t>A63</t>
  </si>
  <si>
    <t>spi_opentarget_i3c_top</t>
  </si>
  <si>
    <t>spi_opentarget_i3c_top.gds</t>
  </si>
  <si>
    <t>7:rst_ni clk_i host_clk_i spi_sclk_i spi_cs_ni spi_mosi_i scl_pad_i</t>
  </si>
  <si>
    <t>3:spi_miso_o *sda_pad irq_o</t>
  </si>
  <si>
    <t>2:sda_pad_i sda_pad_o</t>
  </si>
  <si>
    <t>missing sda_pad_IN|sda_pad_OUT</t>
  </si>
  <si>
    <t>A64</t>
  </si>
  <si>
    <t>fdda_top</t>
  </si>
  <si>
    <t>fdda_top.gds</t>
  </si>
  <si>
    <t>1:VDD_3v3</t>
  </si>
  <si>
    <t>6:Vnn Vnp Vpp Vpn Von Vop</t>
  </si>
  <si>
    <t>TOP_LAYOUT cell 'fdda_top' not found in GDS</t>
  </si>
  <si>
    <t>A66</t>
  </si>
  <si>
    <t>dry_run</t>
  </si>
  <si>
    <t>dry_run.gds</t>
  </si>
  <si>
    <t>pin entry 1 ('CK0') has unsupported pad type 'output'; TOP_LAYOUT 'dry_run' has no top-level shapes on layer 0/datatype 0</t>
  </si>
  <si>
    <t>A68</t>
  </si>
  <si>
    <t>ascon_top</t>
  </si>
  <si>
    <t>ascon_top.gds</t>
  </si>
  <si>
    <t>3:rst cs_n mosi</t>
  </si>
  <si>
    <t>2:clk sclk</t>
  </si>
  <si>
    <t>B02</t>
  </si>
  <si>
    <t>ABC123_SDC</t>
  </si>
  <si>
    <t>ABC123_SDC.gds</t>
  </si>
  <si>
    <t>1:VDD_1</t>
  </si>
  <si>
    <t>1:VSS_1</t>
  </si>
  <si>
    <t>2:CSENS CREF</t>
  </si>
  <si>
    <t>1:VCTRL</t>
  </si>
  <si>
    <t>7:CAPBANK[0] CAPBANK[1] CAPBANK[2] DFF_IN_SEL DFF_IN1 DFF_IN2 CHOP</t>
  </si>
  <si>
    <t>3:CCOSENS_OUT CCOREF_OUT DOUT</t>
  </si>
  <si>
    <t>no layer 0/datatype 0 exists in GDS for TOP_LAYOUT 'ABC123_SDC'</t>
  </si>
  <si>
    <t>B04</t>
  </si>
  <si>
    <t>B04_top_test</t>
  </si>
  <si>
    <t>B04_top_test.gds</t>
  </si>
  <si>
    <t>pin entry 7 ('trigger') has unsupported pad type 'output'; TOP_LAYOUT cell 'B04_top_test' not found in GDS</t>
  </si>
  <si>
    <t>B11</t>
  </si>
  <si>
    <t>B11_CuriousIC_DryRun_Top</t>
  </si>
  <si>
    <t>B11_CuriousIC_DryRun_Top_23Aug.gds</t>
  </si>
  <si>
    <t>2:*B11_BMS_DVDD *B11_BMS_AVDD</t>
  </si>
  <si>
    <t>1:*B11_BMS_AVSS</t>
  </si>
  <si>
    <t>6:*B11_BMS_VINN_CH1 *B11_BMS_VINP_CH1 *B11_BMS_VREFP *B11_BMS_IBIAS_5u *B11_BMS_VCM *B11_BMS_ATB_IA_ADC</t>
  </si>
  <si>
    <t>11:*B11_BMS_CLKIN *B11_BMS_CLK_FCHOP *B11_BMS_EN_EIS *B11_BMS_EIS_RESET *B11_BMS_EN_BIAS *B11_BMS_CH_SEL *B11_BMS_ATB_SEL_0 *B11_BMS_ATB_SEL_1 *B11_BMS_D_EIS *B11_BMS_CLK_EIS *B11_BMS_DOUT</t>
  </si>
  <si>
    <t>2:*B11_BMS_VINN_CH2 *B11_BMS_VINP_CH2</t>
  </si>
  <si>
    <t>group 2 missing ground: B11_BMS_AVDD B11_BMS_CH_SEL B11_BMS_ATB_SEL_0 B11_BMS_ATB_SEL_1 B11_BMS_D_EIS B11_BMS_CLK_EIS B11_BMS_ATB_IA_ADC B11_BMS_DOUT; missing B11_BMS_AVSS; missing B11_BMS_CLKIN; missing B11_BMS_CLK_FCHOP; missing B11_BMS_DVDD; missing B11_BMS_VINN_CH1; missing B11_BMS_VINP_CH1; missing B11_BMS_VREFP; missing B11_BMS_IBIAS_5u; missing B11_BMS_VCM; missing B11_BMS_VINN_CH2_IN|B11_BMS_VINN_CH2_OUT; missing B11_BMS_VINP_CH2_IN|B11_BMS_VINP_CH2_OUT; missing B11_BMS_EN_EIS; missing B11_BMS_EIS_RESET; missing B11_BMS_EN_BIAS; missing B11_BMS_AVDD; missing B11_BMS_CH_SEL; missing B11_BMS_ATB_SEL_0; missing B11_BMS_ATB_SEL_1; missing B11_BMS_D_EIS; missing B11_BMS_CLK_EIS; missing B11_BMS_ATB_IA_ADC; missing B11_BMS_DOUT</t>
  </si>
  <si>
    <t>B12</t>
  </si>
  <si>
    <t>perceptron</t>
  </si>
  <si>
    <t>perceptron.gds</t>
  </si>
  <si>
    <t>7:V_w2 I_x2 V_b I_x1 V_w1 V_shift V_out_perceptron</t>
  </si>
  <si>
    <t>B14</t>
  </si>
  <si>
    <t>ASIC_final</t>
  </si>
  <si>
    <t>ASIC_final.gds</t>
  </si>
  <si>
    <t>5:VREF_P VREF_N RE TIA_R CE</t>
  </si>
  <si>
    <t>11:B6 B4 B2 B0 B1 B3 B5 B7 VbiasN AGND WE</t>
  </si>
  <si>
    <t>B18</t>
  </si>
  <si>
    <t>B18_Probton</t>
  </si>
  <si>
    <t>B18_Probton.gds</t>
  </si>
  <si>
    <t>4:spi_sclk clk comp_x comp_y</t>
  </si>
  <si>
    <t>3:rst_n spi_cs_n spi_mosi</t>
  </si>
  <si>
    <t>10:spi_miso move_en_x dir_x ref_wave_x mems_drv_x mems_drv_y ref_wave_y dir_y move_en_y read_en</t>
  </si>
  <si>
    <t>B24</t>
  </si>
  <si>
    <t>B24_topcell</t>
  </si>
  <si>
    <t>B24_topcell.gds</t>
  </si>
  <si>
    <t>duplicate pin name in info.yaml: HPF_outp; TOP_LAYOUT 'B24_topcell' has no top-level shapes on layer 0/datatype 0</t>
  </si>
  <si>
    <t>B26</t>
  </si>
  <si>
    <t>GRADIENT_NAV2</t>
  </si>
  <si>
    <t>GRADIENT_NAV2_filled.gds</t>
  </si>
  <si>
    <t>17:S4P S4N Z ZN ZP Y YN YP X XN XP S1N S1P S3P S3N S2N S2P</t>
  </si>
  <si>
    <t>C01</t>
  </si>
  <si>
    <t>DUT</t>
  </si>
  <si>
    <t>DUT.gds</t>
  </si>
  <si>
    <t>12:INP_TELESCOPIC INP_FOLDED OUT_TELESCOPIC OUT_FOLDED INP_5T INN_TELESCOPIC INN_FOLDED IBIAS IN_CS OUT_CS INN_5T OUT_5T</t>
  </si>
  <si>
    <t>3:PROG_ENA SCAN_IN CLK</t>
  </si>
  <si>
    <t>1:SCAN_OUT</t>
  </si>
  <si>
    <t>C04</t>
  </si>
  <si>
    <t>analog pin entry 16 ('SCDAC2_OUT') does not specify whether secondary ESD protection is used; Stream has unknown format: /Users/kanobailey/chipathon/2026/gds/C04/DUT.gds in Layout.read</t>
  </si>
  <si>
    <t>C05</t>
  </si>
  <si>
    <t>ota_gds</t>
  </si>
  <si>
    <t>ota_gds.gds</t>
  </si>
  <si>
    <t>info.yaml does not contain a pin list (expected 'pins' or 'project.pins'); TOP_LAYOUT cell 'ota_gds' not found in GDS</t>
  </si>
  <si>
    <t>D03</t>
  </si>
  <si>
    <t>butterfold_top</t>
  </si>
  <si>
    <t>butterfold_top.gds</t>
  </si>
  <si>
    <t>10:rst_n din_valid_i din[7] din[6] din[5] din[4] din[3] din[2] din[1] din[0]</t>
  </si>
  <si>
    <t>10:din_ready_o dout_valid_o dout[7] dout[6] dout[5] dout[4] dout[3] dout[2] dout[1] dout[0]</t>
  </si>
  <si>
    <t>D04</t>
  </si>
  <si>
    <t>NanoCGRA_Lite</t>
  </si>
  <si>
    <t>nanocgra_lite_3x3_opt.gds</t>
  </si>
  <si>
    <t>3:clk rst_n uart_rx</t>
  </si>
  <si>
    <t>D05</t>
  </si>
  <si>
    <t>RFEH_FULL</t>
  </si>
  <si>
    <t>harvester_top_full.gds</t>
  </si>
  <si>
    <t>analog pin entry 2 ('RFP') does not specify whether secondary ESD protection is used; TOP_LAYOUT cell 'RFEH_FULL' not found in GDS</t>
  </si>
  <si>
    <t>D10</t>
  </si>
  <si>
    <t>D10_D</t>
  </si>
  <si>
    <t>D10_D.gds</t>
  </si>
  <si>
    <t>4:rst_n din load_en shift_out_en</t>
  </si>
  <si>
    <t>2:dout done</t>
  </si>
  <si>
    <t>D15</t>
  </si>
  <si>
    <t>mosaic_block_a</t>
  </si>
  <si>
    <t>mosaic_block_a.gds</t>
  </si>
  <si>
    <t>4:rst_ni boot_select_i execute_from_flash_i uart_rx_i</t>
  </si>
  <si>
    <t>1:clk_i</t>
  </si>
  <si>
    <t>15:uart_tx_o spi_flash_sck_o spi_flash_cs_o spi_flash_sd_io[0] spi_flash_sd_io[1] spi_flash_sd_io[2] spi_flash_sd_io[3] status_valid_o status_o[0] status_o[1] status_o[2] status_o[3] status_o[4] status_o[5] status_o[6]</t>
  </si>
  <si>
    <t>D16</t>
  </si>
  <si>
    <t>top_pd_min_logiconly_qspi_areaopt2.klayout</t>
  </si>
  <si>
    <t>top_pd_min_logiconly_qspi_areaopt2.klayout.gds</t>
  </si>
  <si>
    <t>2:rst_ni uart_rx_i</t>
  </si>
  <si>
    <t>13:uart_tx_o uart_tx_en_o qspi_sclk_o qspi_cs_n_o qspi_io_o[0] qspi_io_o[1] qspi_io_o[2] qspi_io_o[3] qspi_io_i[0] qspi_io_i[1] qspi_io_i[2] qspi_io_i[3] qspi_io_oe_o</t>
  </si>
  <si>
    <t>TOP_LAYOUT cell 'top_pd_min_logiconly_qspi_areaopt2.klayout' not found in GDS</t>
  </si>
  <si>
    <t>Chip</t>
  </si>
  <si>
    <t>Utilization</t>
  </si>
  <si>
    <t>Zero pins:</t>
  </si>
  <si>
    <t>No bbox</t>
  </si>
  <si>
    <t>Projects</t>
  </si>
  <si>
    <t>Unused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</si>
</sst>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
    <numFmt numFmtId="165" formatCode="#,##0.000"/>
  </numFmts>
  <fonts count="4">
    <font>
      <sz val="10.0"/>
      <color rgb="FF000000"/>
      <name val="Arial"/>
      <scheme val="minor"/>
    </font>
    <font>
      <color theme="1"/>
      <name val="Arial"/>
      <scheme val="minor"/>
    </font>
    <font>
      <color rgb="FF000000"/>
      <name val="Arial"/>
      <scheme val="minor"/>
    </font>
    <font>
      <u/>
      <color rgb="FF0000FF"/>
    </font>
  </fonts>
  <fills count="2">
    <fill>
      <patternFill patternType="none"/>
    </fill>
    <fill>
      <patternFill patternType="lightGray"/>
    </fill>
  </fills>
  <borders count="9">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1" numFmtId="0" xfId="0" applyAlignment="1" applyFont="1">
      <alignment readingOrder="0"/>
    </xf>
    <xf borderId="0" fillId="0" fontId="2" numFmtId="0" xfId="0" applyAlignment="1" applyFont="1">
      <alignment readingOrder="0"/>
    </xf>
    <xf borderId="0" fillId="0" fontId="1" numFmtId="0" xfId="0" applyAlignment="1" applyFont="1">
      <alignment horizontal="right" readingOrder="0"/>
    </xf>
    <xf borderId="0" fillId="0" fontId="1" numFmtId="3" xfId="0" applyAlignment="1" applyFont="1" applyNumberFormat="1">
      <alignment horizontal="center" readingOrder="0"/>
    </xf>
    <xf borderId="0" fillId="0" fontId="1" numFmtId="0" xfId="0" applyAlignment="1" applyFont="1">
      <alignment horizontal="center"/>
    </xf>
    <xf borderId="0" fillId="0" fontId="1" numFmtId="49" xfId="0" applyAlignment="1" applyFont="1" applyNumberFormat="1">
      <alignment horizontal="right" readingOrder="0"/>
    </xf>
    <xf borderId="0" fillId="0" fontId="1" numFmtId="3" xfId="0" applyAlignment="1" applyFont="1" applyNumberFormat="1">
      <alignment readingOrder="0"/>
    </xf>
    <xf borderId="0" fillId="0" fontId="1" numFmtId="10" xfId="0" applyFont="1" applyNumberFormat="1"/>
    <xf borderId="0" fillId="0" fontId="1" numFmtId="0" xfId="0" applyFont="1"/>
    <xf borderId="0" fillId="0" fontId="1" numFmtId="0" xfId="0" applyAlignment="1" applyFont="1">
      <alignment horizontal="right"/>
    </xf>
    <xf borderId="0" fillId="0" fontId="1" numFmtId="3" xfId="0" applyFont="1" applyNumberFormat="1"/>
    <xf borderId="0" fillId="0" fontId="3" numFmtId="0" xfId="0" applyAlignment="1" applyFont="1">
      <alignment readingOrder="0"/>
    </xf>
    <xf borderId="1" fillId="0" fontId="1" numFmtId="0" xfId="0" applyAlignment="1" applyBorder="1" applyFont="1">
      <alignment horizontal="center" readingOrder="0"/>
    </xf>
    <xf borderId="2" fillId="0" fontId="1" numFmtId="0" xfId="0" applyAlignment="1" applyBorder="1" applyFont="1">
      <alignment horizontal="center" readingOrder="0"/>
    </xf>
    <xf borderId="3" fillId="0" fontId="1" numFmtId="0" xfId="0" applyAlignment="1" applyBorder="1" applyFont="1">
      <alignment horizontal="center" readingOrder="0"/>
    </xf>
    <xf borderId="4" fillId="0" fontId="1" numFmtId="0" xfId="0" applyAlignment="1" applyBorder="1" applyFont="1">
      <alignment horizontal="center" readingOrder="0"/>
    </xf>
    <xf borderId="5" fillId="0" fontId="1" numFmtId="10" xfId="0" applyAlignment="1" applyBorder="1" applyFont="1" applyNumberFormat="1">
      <alignment readingOrder="0"/>
    </xf>
    <xf borderId="6" fillId="0" fontId="1" numFmtId="0" xfId="0" applyBorder="1" applyFont="1"/>
    <xf borderId="7" fillId="0" fontId="1" numFmtId="0" xfId="0" applyBorder="1" applyFont="1"/>
    <xf borderId="8" fillId="0" fontId="1" numFmtId="164" xfId="0" applyBorder="1" applyFont="1" applyNumberFormat="1"/>
    <xf borderId="0" fillId="0" fontId="1" numFmtId="165" xfId="0" applyFont="1" applyNumberFormat="1"/>
    <xf borderId="0" fillId="0" fontId="1" numFmtId="164" xfId="0" applyFont="1" applyNumberFormat="1"/>
  </cellXfs>
  <cellStyles count="1">
    <cellStyle xfId="0" name="Normal" builtinId="0"/>
  </cellStyles>
  <dxfs count="4">
    <dxf>
      <font/>
      <fill>
        <patternFill patternType="solid">
          <fgColor rgb="FFFF0000"/>
          <bgColor rgb="FFFF0000"/>
        </patternFill>
      </fill>
      <border/>
    </dxf>
    <dxf>
      <font/>
      <fill>
        <patternFill patternType="solid">
          <fgColor rgb="FF00FF00"/>
          <bgColor rgb="FF00FF00"/>
        </patternFill>
      </fill>
      <border/>
    </dxf>
    <dxf>
      <font/>
      <fill>
        <patternFill patternType="solid">
          <fgColor rgb="FFFF9900"/>
          <bgColor rgb="FFFF9900"/>
        </patternFill>
      </fill>
      <border/>
    </dxf>
    <dxf>
      <font/>
      <fill>
        <patternFill patternType="solid">
          <fgColor rgb="FFFFFF00"/>
          <bgColor rgb="FFFF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495300</xdr:colOff>
      <xdr:row>47</xdr:row>
      <xdr:rowOff>200025</xdr:rowOff>
    </xdr:from>
    <xdr:ext cx="2524125" cy="5238750"/>
    <xdr:sp>
      <xdr:nvSpPr>
        <xdr:cNvPr id="3" name="Shape 3"/>
        <xdr:cNvSpPr txBox="1"/>
      </xdr:nvSpPr>
      <xdr:spPr>
        <a:xfrm>
          <a:off x="95875" y="481775"/>
          <a:ext cx="2507400" cy="6570000"/>
        </a:xfrm>
        <a:prstGeom prst="rect">
          <a:avLst/>
        </a:prstGeom>
        <a:solidFill>
          <a:srgbClr val="F4CCCC"/>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Red in the height width column </a:t>
          </a:r>
          <a:r>
            <a:rPr lang="en-US" sz="1400"/>
            <a:t>means</a:t>
          </a:r>
          <a:r>
            <a:rPr lang="en-US" sz="1400"/>
            <a:t> you’re missing a bonding box on layer 0/0.</a:t>
          </a:r>
          <a:endParaRPr sz="1400"/>
        </a:p>
        <a:p>
          <a:pPr indent="0" lvl="0" marL="0" rtl="0" algn="l">
            <a:spcBef>
              <a:spcPts val="0"/>
            </a:spcBef>
            <a:spcAft>
              <a:spcPts val="0"/>
            </a:spcAft>
            <a:buNone/>
          </a:pPr>
          <a:r>
            <a:t/>
          </a:r>
          <a:endParaRPr sz="1400"/>
        </a:p>
        <a:p>
          <a:pPr indent="0" lvl="0" marL="0" rtl="0" algn="l">
            <a:spcBef>
              <a:spcPts val="0"/>
            </a:spcBef>
            <a:spcAft>
              <a:spcPts val="0"/>
            </a:spcAft>
            <a:buNone/>
          </a:pPr>
          <a:r>
            <a:rPr lang="en-US" sz="1400"/>
            <a:t>Red in the pin count column means that you need to define the pins in the info.yaml file.</a:t>
          </a:r>
          <a:endParaRPr sz="1400"/>
        </a:p>
        <a:p>
          <a:pPr indent="0" lvl="0" marL="0" rtl="0" algn="l">
            <a:spcBef>
              <a:spcPts val="0"/>
            </a:spcBef>
            <a:spcAft>
              <a:spcPts val="0"/>
            </a:spcAft>
            <a:buNone/>
          </a:pPr>
          <a:r>
            <a:t/>
          </a:r>
          <a:endParaRPr sz="1400"/>
        </a:p>
        <a:p>
          <a:pPr indent="0" lvl="0" marL="0" rtl="0" algn="l">
            <a:spcBef>
              <a:spcPts val="0"/>
            </a:spcBef>
            <a:spcAft>
              <a:spcPts val="0"/>
            </a:spcAft>
            <a:buNone/>
          </a:pPr>
          <a:r>
            <a:rPr lang="en-US" sz="1400"/>
            <a:t>Red in the power </a:t>
          </a:r>
          <a:r>
            <a:rPr lang="en-US" sz="1400"/>
            <a:t>column</a:t>
          </a:r>
          <a:r>
            <a:rPr lang="en-US" sz="1400"/>
            <a:t> means you’re missing a power pad.</a:t>
          </a:r>
          <a:endParaRPr sz="1400"/>
        </a:p>
        <a:p>
          <a:pPr indent="0" lvl="0" marL="0" rtl="0" algn="l">
            <a:spcBef>
              <a:spcPts val="0"/>
            </a:spcBef>
            <a:spcAft>
              <a:spcPts val="0"/>
            </a:spcAft>
            <a:buNone/>
          </a:pPr>
          <a:r>
            <a:t/>
          </a:r>
          <a:endParaRPr sz="1400"/>
        </a:p>
        <a:p>
          <a:pPr indent="0" lvl="0" marL="0" rtl="0" algn="l">
            <a:spcBef>
              <a:spcPts val="0"/>
            </a:spcBef>
            <a:spcAft>
              <a:spcPts val="0"/>
            </a:spcAft>
            <a:buNone/>
          </a:pPr>
          <a:r>
            <a:rPr lang="en-US" sz="1400"/>
            <a:t>Red in the ground column means you’re missing a ground pad.</a:t>
          </a:r>
          <a:endParaRPr sz="1400"/>
        </a:p>
        <a:p>
          <a:pPr indent="0" lvl="0" marL="0" rtl="0" algn="l">
            <a:spcBef>
              <a:spcPts val="0"/>
            </a:spcBef>
            <a:spcAft>
              <a:spcPts val="0"/>
            </a:spcAft>
            <a:buNone/>
          </a:pPr>
          <a:r>
            <a:t/>
          </a:r>
          <a:endParaRPr sz="1400"/>
        </a:p>
        <a:p>
          <a:pPr indent="0" lvl="0" marL="0" rtl="0" algn="l">
            <a:spcBef>
              <a:spcPts val="0"/>
            </a:spcBef>
            <a:spcAft>
              <a:spcPts val="0"/>
            </a:spcAft>
            <a:buNone/>
          </a:pPr>
          <a:r>
            <a:rPr lang="en-US" sz="1400"/>
            <a:t>For projects with an extended block configuration, please try to fit in an A block 1110 x 1110 and 22 pins.</a:t>
          </a:r>
          <a:endParaRPr sz="1400"/>
        </a:p>
        <a:p>
          <a:pPr indent="0" lvl="0" marL="0" rtl="0" algn="l">
            <a:spcBef>
              <a:spcPts val="0"/>
            </a:spcBef>
            <a:spcAft>
              <a:spcPts val="0"/>
            </a:spcAft>
            <a:buNone/>
          </a:pPr>
          <a:r>
            <a:t/>
          </a:r>
          <a:endParaRPr sz="1400"/>
        </a:p>
        <a:p>
          <a:pPr indent="0" lvl="0" marL="0" rtl="0" algn="l">
            <a:spcBef>
              <a:spcPts val="0"/>
            </a:spcBef>
            <a:spcAft>
              <a:spcPts val="0"/>
            </a:spcAft>
            <a:buNone/>
          </a:pPr>
          <a:r>
            <a:rPr lang="en-US" sz="1400"/>
            <a:t>We’d especially like to avoid ACE (blocks 1675 x 1675, 36 pins) as much as possible. </a:t>
          </a:r>
          <a:br>
            <a:rPr lang="en-US" sz="1400"/>
          </a:br>
          <a:br>
            <a:rPr lang="en-US" sz="1400"/>
          </a:br>
          <a:r>
            <a:rPr lang="en-US" sz="1400"/>
            <a:t>ACV, ACH blocks (1675 x 1110 or 1110 x 1675 with 28 pins) are easier.</a:t>
          </a:r>
          <a:endParaRPr sz="1400"/>
        </a:p>
      </xdr:txBody>
    </xdr: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161925</xdr:colOff>
      <xdr:row>2</xdr:row>
      <xdr:rowOff>171450</xdr:rowOff>
    </xdr:from>
    <xdr:ext cx="6562725" cy="3505200"/>
    <xdr:sp>
      <xdr:nvSpPr>
        <xdr:cNvPr id="4" name="Shape 4"/>
        <xdr:cNvSpPr txBox="1"/>
      </xdr:nvSpPr>
      <xdr:spPr>
        <a:xfrm>
          <a:off x="684650" y="420850"/>
          <a:ext cx="6547500" cy="3481800"/>
        </a:xfrm>
        <a:prstGeom prst="rect">
          <a:avLst/>
        </a:prstGeom>
        <a:solidFill>
          <a:srgbClr val="FFFF00"/>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There may be discrepancies in this automatically generated report.</a:t>
          </a:r>
          <a:endParaRPr sz="1400"/>
        </a:p>
        <a:p>
          <a:pPr indent="0" lvl="0" marL="0" rtl="0" algn="l">
            <a:spcBef>
              <a:spcPts val="0"/>
            </a:spcBef>
            <a:spcAft>
              <a:spcPts val="0"/>
            </a:spcAft>
            <a:buNone/>
          </a:pPr>
          <a:r>
            <a:rPr lang="en-US" sz="1400"/>
            <a:t>Each error has not been confirmed.</a:t>
          </a:r>
          <a:endParaRPr sz="1400"/>
        </a:p>
        <a:p>
          <a:pPr indent="0" lvl="0" marL="0" rtl="0" algn="l">
            <a:spcBef>
              <a:spcPts val="0"/>
            </a:spcBef>
            <a:spcAft>
              <a:spcPts val="0"/>
            </a:spcAft>
            <a:buNone/>
          </a:pPr>
          <a:r>
            <a:t/>
          </a:r>
          <a:endParaRPr sz="1400"/>
        </a:p>
        <a:p>
          <a:pPr indent="-317500" lvl="0" marL="457200" rtl="0" algn="l">
            <a:spcBef>
              <a:spcPts val="0"/>
            </a:spcBef>
            <a:spcAft>
              <a:spcPts val="0"/>
            </a:spcAft>
            <a:buSzPts val="1400"/>
            <a:buAutoNum type="arabicPeriod"/>
          </a:pPr>
          <a:r>
            <a:rPr lang="en-US" sz="1400"/>
            <a:t>There will be a break in the I/O ring between groups of power and ground signals.</a:t>
          </a:r>
          <a:endParaRPr sz="1400"/>
        </a:p>
        <a:p>
          <a:pPr indent="-317500" lvl="0" marL="457200" rtl="0" algn="l">
            <a:spcBef>
              <a:spcPts val="0"/>
            </a:spcBef>
            <a:spcAft>
              <a:spcPts val="0"/>
            </a:spcAft>
            <a:buSzPts val="1400"/>
            <a:buAutoNum type="arabicPeriod"/>
          </a:pPr>
          <a:r>
            <a:rPr lang="en-US" sz="1400"/>
            <a:t>There is no default global ground. You need an explicit ground pin. Your first pin must be a ground pin.</a:t>
          </a:r>
          <a:endParaRPr sz="1400"/>
        </a:p>
        <a:p>
          <a:pPr indent="-317500" lvl="0" marL="457200" rtl="0" algn="l">
            <a:spcBef>
              <a:spcPts val="0"/>
            </a:spcBef>
            <a:spcAft>
              <a:spcPts val="0"/>
            </a:spcAft>
            <a:buSzPts val="1400"/>
            <a:buAutoNum type="arabicPeriod"/>
          </a:pPr>
          <a:r>
            <a:rPr lang="en-US" sz="1400"/>
            <a:t>Currently, bidirectional pads expect both an input and output signal. This is only needed if you are using both. The check will be updated.</a:t>
          </a:r>
          <a:endParaRPr sz="1400"/>
        </a:p>
        <a:p>
          <a:pPr indent="-317500" lvl="0" marL="457200" rtl="0" algn="l">
            <a:spcBef>
              <a:spcPts val="0"/>
            </a:spcBef>
            <a:spcAft>
              <a:spcPts val="0"/>
            </a:spcAft>
            <a:buSzPts val="1400"/>
            <a:buAutoNum type="arabicPeriod"/>
          </a:pPr>
          <a:r>
            <a:rPr lang="en-US" sz="1400"/>
            <a:t>The pins in the info.yaml file are expected to exist as text on the top level of the layout.</a:t>
          </a:r>
          <a:endParaRPr sz="1400"/>
        </a:p>
        <a:p>
          <a:pPr indent="-317500" lvl="0" marL="457200" rtl="0" algn="l">
            <a:spcBef>
              <a:spcPts val="0"/>
            </a:spcBef>
            <a:spcAft>
              <a:spcPts val="0"/>
            </a:spcAft>
            <a:buSzPts val="1400"/>
            <a:buAutoNum type="arabicPeriod"/>
          </a:pPr>
          <a:r>
            <a:rPr lang="en-US" sz="1400"/>
            <a:t>Analog pads must have a secondary_esd: true|false attribute in the info.yaml file.</a:t>
          </a:r>
          <a:endParaRPr sz="1400"/>
        </a:p>
        <a:p>
          <a:pPr indent="-317500" lvl="0" marL="457200" rtl="0" algn="l">
            <a:spcBef>
              <a:spcPts val="0"/>
            </a:spcBef>
            <a:spcAft>
              <a:spcPts val="0"/>
            </a:spcAft>
            <a:buSzPts val="1400"/>
            <a:buAutoNum type="arabicPeriod"/>
          </a:pPr>
          <a:r>
            <a:rPr lang="en-US" sz="1400"/>
            <a:t>Layout must have one bounding box on layer 0/0 that matches a defined block size.</a:t>
          </a:r>
          <a:endParaRPr sz="1400"/>
        </a:p>
      </xdr:txBody>
    </xdr:sp>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presentation/d/1Xv_e0r1JKkjAIttDKGDsLEcDNz211jee_gQeWR6n7Es/edit?usp=sharing"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5.13"/>
    <col customWidth="1" min="2" max="3" width="21.5"/>
    <col customWidth="1" min="4" max="5" width="8.75"/>
    <col customWidth="1" min="6" max="6" width="10.75"/>
    <col customWidth="1" min="7" max="7" width="8.38"/>
    <col customWidth="1" min="16" max="17" width="12.63"/>
  </cols>
  <sheetData>
    <row r="1">
      <c r="A1" s="2" t="s">
        <v>1</v>
      </c>
      <c r="B1" s="2" t="s">
        <v>5</v>
      </c>
      <c r="C1" s="2" t="s">
        <v>6</v>
      </c>
      <c r="D1" s="2" t="s">
        <v>7</v>
      </c>
      <c r="E1" s="2" t="s">
        <v>9</v>
      </c>
      <c r="F1" s="1" t="s">
        <v>12</v>
      </c>
      <c r="G1" s="2" t="s">
        <v>16</v>
      </c>
      <c r="H1" s="2" t="s">
        <v>18</v>
      </c>
      <c r="I1" s="2" t="s">
        <v>21</v>
      </c>
      <c r="J1" s="2" t="s">
        <v>24</v>
      </c>
      <c r="K1" s="2" t="s">
        <v>26</v>
      </c>
      <c r="L1" s="2" t="s">
        <v>28</v>
      </c>
      <c r="M1" s="2" t="s">
        <v>29</v>
      </c>
      <c r="N1" s="2" t="s">
        <v>31</v>
      </c>
      <c r="O1" s="2" t="s">
        <v>33</v>
      </c>
      <c r="P1" s="2" t="s">
        <v>34</v>
      </c>
      <c r="Q1" s="2" t="s">
        <v>36</v>
      </c>
    </row>
    <row r="2">
      <c r="A2" s="2" t="s">
        <v>38</v>
      </c>
      <c r="B2" s="2" t="s">
        <v>40</v>
      </c>
      <c r="C2" s="2" t="s">
        <v>42</v>
      </c>
      <c r="D2" s="2">
        <v>1110.0</v>
      </c>
      <c r="E2" s="2">
        <v>550.0</v>
      </c>
      <c r="F2" s="1" t="str">
        <f>IFERROR(__xludf.DUMMYFUNCTION("IF(or(D2="""",G2=0,I2=""0:""),"""",IFNA(INDEX(FILTER(Blocks!$A$2:$A1006,
                   Blocks!$E$2:$E1006&gt;=D2,
                   Blocks!$F$2:$F1006&gt;=E2,
                   Blocks!$D$2:$D1006&gt;=G2),1),""X""))"),"BH")</f>
        <v>BH</v>
      </c>
      <c r="G2" s="2">
        <f t="shared" ref="G2:G47" si="1">left(H2,find(":",H2)-1)+left(I2,find(":",I2)-1)+left(J2,find(":",J2)-1)+left(K2,find(":",K2)-1)+left(L2,find(":",L2)-1)+left(M2,find(":",M2)-1)+left(N2,find(":",N2)-1)+left(O2,find(":",O2)-1)</f>
        <v>13</v>
      </c>
      <c r="H2" s="2" t="s">
        <v>125</v>
      </c>
      <c r="I2" s="2" t="s">
        <v>127</v>
      </c>
      <c r="J2" s="2" t="s">
        <v>130</v>
      </c>
      <c r="K2" s="2" t="s">
        <v>132</v>
      </c>
      <c r="L2" s="2" t="s">
        <v>133</v>
      </c>
      <c r="M2" s="2" t="s">
        <v>132</v>
      </c>
      <c r="N2" s="2" t="s">
        <v>132</v>
      </c>
      <c r="O2" s="2" t="s">
        <v>132</v>
      </c>
      <c r="P2" s="2" t="s">
        <v>132</v>
      </c>
    </row>
    <row r="3">
      <c r="A3" s="2" t="s">
        <v>136</v>
      </c>
      <c r="B3" s="2" t="s">
        <v>137</v>
      </c>
      <c r="C3" s="2" t="s">
        <v>138</v>
      </c>
      <c r="D3" s="2">
        <v>1100.0</v>
      </c>
      <c r="E3" s="2">
        <v>1100.0</v>
      </c>
      <c r="F3" s="1" t="str">
        <f>IFERROR(__xludf.DUMMYFUNCTION("IF(or(D3="""",G3=0,I3=""0:""),"""",IFNA(INDEX(FILTER(Blocks!$A$2:$A1006,
                   Blocks!$E$2:$E1006&gt;=D3,
                   Blocks!$F$2:$F1006&gt;=E3,
                   Blocks!$D$2:$D1006&gt;=G3),1),""X""))"),"A")</f>
        <v>A</v>
      </c>
      <c r="G3" s="2">
        <f t="shared" si="1"/>
        <v>22</v>
      </c>
      <c r="H3" s="2" t="s">
        <v>144</v>
      </c>
      <c r="I3" s="2" t="s">
        <v>145</v>
      </c>
      <c r="J3" s="2" t="s">
        <v>132</v>
      </c>
      <c r="K3" s="2" t="s">
        <v>132</v>
      </c>
      <c r="L3" s="2" t="s">
        <v>146</v>
      </c>
      <c r="M3" s="2" t="s">
        <v>147</v>
      </c>
      <c r="N3" s="2" t="s">
        <v>149</v>
      </c>
      <c r="O3" s="2" t="s">
        <v>132</v>
      </c>
      <c r="P3" s="2" t="s">
        <v>132</v>
      </c>
    </row>
    <row r="4">
      <c r="A4" s="2" t="s">
        <v>151</v>
      </c>
      <c r="B4" s="2" t="s">
        <v>152</v>
      </c>
      <c r="C4" s="2" t="s">
        <v>153</v>
      </c>
      <c r="D4" s="10"/>
      <c r="E4" s="10"/>
      <c r="F4" s="1" t="str">
        <f>IFERROR(__xludf.DUMMYFUNCTION("IF(or(D4="""",G4=0,I4=""0:""),"""",IFNA(INDEX(FILTER(Blocks!$A$2:$A1006,
                   Blocks!$E$2:$E1006&gt;=D4,
                   Blocks!$F$2:$F1006&gt;=E4,
                   Blocks!$D$2:$D1006&gt;=G4),1),""X""))"),"")</f>
        <v/>
      </c>
      <c r="G4" s="2">
        <f t="shared" si="1"/>
        <v>0</v>
      </c>
      <c r="H4" s="2" t="s">
        <v>132</v>
      </c>
      <c r="I4" s="2" t="s">
        <v>132</v>
      </c>
      <c r="J4" s="2" t="s">
        <v>132</v>
      </c>
      <c r="K4" s="2" t="s">
        <v>132</v>
      </c>
      <c r="L4" s="2" t="s">
        <v>132</v>
      </c>
      <c r="M4" s="2" t="s">
        <v>132</v>
      </c>
      <c r="N4" s="2" t="s">
        <v>132</v>
      </c>
      <c r="O4" s="2" t="s">
        <v>132</v>
      </c>
      <c r="P4" s="2" t="s">
        <v>132</v>
      </c>
      <c r="Q4" s="2" t="s">
        <v>158</v>
      </c>
    </row>
    <row r="5">
      <c r="A5" s="2" t="s">
        <v>159</v>
      </c>
      <c r="B5" s="2" t="s">
        <v>160</v>
      </c>
      <c r="C5" s="2" t="s">
        <v>161</v>
      </c>
      <c r="D5" s="2">
        <v>1100.0</v>
      </c>
      <c r="E5" s="2">
        <v>500.0</v>
      </c>
      <c r="F5" s="1" t="str">
        <f>IFERROR(__xludf.DUMMYFUNCTION("IF(or(D5="""",G5=0,I5=""0:""),"""",IFNA(INDEX(FILTER(Blocks!$A$2:$A1006,
                   Blocks!$E$2:$E1006&gt;=D5,
                   Blocks!$F$2:$F1006&gt;=E5,
                   Blocks!$D$2:$D1006&gt;=G5),1),""X""))"),"BH")</f>
        <v>BH</v>
      </c>
      <c r="G5" s="2">
        <f t="shared" si="1"/>
        <v>16</v>
      </c>
      <c r="H5" s="2" t="s">
        <v>163</v>
      </c>
      <c r="I5" s="2" t="s">
        <v>164</v>
      </c>
      <c r="J5" s="2" t="s">
        <v>132</v>
      </c>
      <c r="K5" s="2" t="s">
        <v>132</v>
      </c>
      <c r="L5" s="2" t="s">
        <v>165</v>
      </c>
      <c r="M5" s="2" t="s">
        <v>147</v>
      </c>
      <c r="N5" s="2" t="s">
        <v>166</v>
      </c>
      <c r="O5" s="2" t="s">
        <v>132</v>
      </c>
      <c r="P5" s="2" t="s">
        <v>167</v>
      </c>
      <c r="Q5" s="2" t="s">
        <v>168</v>
      </c>
    </row>
    <row r="6">
      <c r="A6" s="2" t="s">
        <v>169</v>
      </c>
      <c r="B6" s="2" t="s">
        <v>170</v>
      </c>
      <c r="C6" s="2" t="s">
        <v>171</v>
      </c>
      <c r="D6" s="2">
        <v>1110.0</v>
      </c>
      <c r="E6" s="2">
        <v>1110.0</v>
      </c>
      <c r="F6" s="1" t="str">
        <f>IFERROR(__xludf.DUMMYFUNCTION("IF(or(D6="""",G6=0,I6=""0:""),"""",IFNA(INDEX(FILTER(Blocks!$A$2:$A1006,
                   Blocks!$E$2:$E1006&gt;=D6,
                   Blocks!$F$2:$F1006&gt;=E6,
                   Blocks!$D$2:$D1006&gt;=G6),1),""X""))"),"A")</f>
        <v>A</v>
      </c>
      <c r="G6" s="2">
        <f t="shared" si="1"/>
        <v>14</v>
      </c>
      <c r="H6" s="2" t="s">
        <v>144</v>
      </c>
      <c r="I6" s="2" t="s">
        <v>145</v>
      </c>
      <c r="J6" s="2" t="s">
        <v>132</v>
      </c>
      <c r="K6" s="2" t="s">
        <v>132</v>
      </c>
      <c r="L6" s="2" t="s">
        <v>172</v>
      </c>
      <c r="M6" s="2" t="s">
        <v>173</v>
      </c>
      <c r="N6" s="2" t="s">
        <v>174</v>
      </c>
      <c r="O6" s="2" t="s">
        <v>132</v>
      </c>
      <c r="P6" s="2" t="s">
        <v>132</v>
      </c>
    </row>
    <row r="7">
      <c r="A7" s="2" t="s">
        <v>175</v>
      </c>
      <c r="B7" s="2" t="s">
        <v>176</v>
      </c>
      <c r="C7" s="2" t="s">
        <v>177</v>
      </c>
      <c r="D7" s="2">
        <v>550.0</v>
      </c>
      <c r="E7" s="2">
        <v>550.0</v>
      </c>
      <c r="F7" s="1" t="str">
        <f>IFERROR(__xludf.DUMMYFUNCTION("IF(or(D7="""",G7=0,I7=""0:""),"""",IFNA(INDEX(FILTER(Blocks!$A$2:$A1006,
                   Blocks!$E$2:$E1006&gt;=D7,
                   Blocks!$F$2:$F1006&gt;=E7,
                   Blocks!$D$2:$D1006&gt;=G7),1),""X""))"),"BV")</f>
        <v>BV</v>
      </c>
      <c r="G7" s="2">
        <f t="shared" si="1"/>
        <v>13</v>
      </c>
      <c r="H7" s="2" t="s">
        <v>144</v>
      </c>
      <c r="I7" s="2" t="s">
        <v>145</v>
      </c>
      <c r="J7" s="2" t="s">
        <v>132</v>
      </c>
      <c r="K7" s="2" t="s">
        <v>132</v>
      </c>
      <c r="L7" s="2" t="s">
        <v>178</v>
      </c>
      <c r="M7" s="2" t="s">
        <v>173</v>
      </c>
      <c r="N7" s="2" t="s">
        <v>179</v>
      </c>
      <c r="O7" s="2" t="s">
        <v>132</v>
      </c>
      <c r="P7" s="2" t="s">
        <v>132</v>
      </c>
    </row>
    <row r="8">
      <c r="A8" s="2" t="s">
        <v>180</v>
      </c>
      <c r="B8" s="2" t="s">
        <v>181</v>
      </c>
      <c r="C8" s="2" t="s">
        <v>182</v>
      </c>
      <c r="D8" s="2">
        <v>960.0</v>
      </c>
      <c r="E8" s="2">
        <v>960.0</v>
      </c>
      <c r="F8" s="1" t="str">
        <f>IFERROR(__xludf.DUMMYFUNCTION("IF(or(D8="""",G8=0,I8=""0:""),"""",IFNA(INDEX(FILTER(Blocks!$A$2:$A1006,
                   Blocks!$E$2:$E1006&gt;=D8,
                   Blocks!$F$2:$F1006&gt;=E8,
                   Blocks!$D$2:$D1006&gt;=G8),1),""X""))"),"A")</f>
        <v>A</v>
      </c>
      <c r="G8" s="2">
        <f t="shared" si="1"/>
        <v>8</v>
      </c>
      <c r="H8" s="2" t="s">
        <v>144</v>
      </c>
      <c r="I8" s="2" t="s">
        <v>145</v>
      </c>
      <c r="J8" s="2" t="s">
        <v>132</v>
      </c>
      <c r="K8" s="2" t="s">
        <v>132</v>
      </c>
      <c r="L8" s="2" t="s">
        <v>132</v>
      </c>
      <c r="M8" s="2" t="s">
        <v>132</v>
      </c>
      <c r="N8" s="2" t="s">
        <v>132</v>
      </c>
      <c r="O8" s="2" t="s">
        <v>183</v>
      </c>
      <c r="P8" s="2" t="s">
        <v>132</v>
      </c>
    </row>
    <row r="9">
      <c r="A9" s="2" t="s">
        <v>184</v>
      </c>
      <c r="B9" s="2" t="s">
        <v>185</v>
      </c>
      <c r="C9" s="2" t="s">
        <v>186</v>
      </c>
      <c r="D9" s="2">
        <v>1650.0</v>
      </c>
      <c r="E9" s="2">
        <v>1100.0</v>
      </c>
      <c r="F9" s="1" t="str">
        <f>IFERROR(__xludf.DUMMYFUNCTION("IF(or(D9="""",G9=0,I9=""0:""),"""",IFNA(INDEX(FILTER(Blocks!$A$2:$A1006,
                   Blocks!$E$2:$E1006&gt;=D9,
                   Blocks!$F$2:$F1006&gt;=E9,
                   Blocks!$D$2:$D1006&gt;=G9),1),""X""))"),"ACV")</f>
        <v>ACV</v>
      </c>
      <c r="G9" s="2">
        <f t="shared" si="1"/>
        <v>22</v>
      </c>
      <c r="H9" s="2" t="s">
        <v>144</v>
      </c>
      <c r="I9" s="2" t="s">
        <v>145</v>
      </c>
      <c r="J9" s="2" t="s">
        <v>132</v>
      </c>
      <c r="K9" s="2" t="s">
        <v>132</v>
      </c>
      <c r="L9" s="2" t="s">
        <v>187</v>
      </c>
      <c r="M9" s="2" t="s">
        <v>188</v>
      </c>
      <c r="N9" s="2" t="s">
        <v>189</v>
      </c>
      <c r="O9" s="2" t="s">
        <v>132</v>
      </c>
      <c r="P9" s="2" t="s">
        <v>190</v>
      </c>
      <c r="Q9" s="2" t="s">
        <v>191</v>
      </c>
    </row>
    <row r="10">
      <c r="A10" s="2" t="s">
        <v>192</v>
      </c>
      <c r="B10" s="2" t="s">
        <v>193</v>
      </c>
      <c r="C10" s="2" t="s">
        <v>194</v>
      </c>
      <c r="D10" s="2">
        <v>514.25</v>
      </c>
      <c r="E10" s="2">
        <v>549.7</v>
      </c>
      <c r="F10" s="1" t="str">
        <f>IFERROR(__xludf.DUMMYFUNCTION("IF(or(D10="""",G10=0,I10=""0:""),"""",IFNA(INDEX(FILTER(Blocks!$A$2:$A1006,
                   Blocks!$E$2:$E1006&gt;=D10,
                   Blocks!$F$2:$F1006&gt;=E10,
                   Blocks!$D$2:$D1006&gt;=G10),1),""X""))"),"BV")</f>
        <v>BV</v>
      </c>
      <c r="G10" s="2">
        <f t="shared" si="1"/>
        <v>14</v>
      </c>
      <c r="H10" s="2" t="s">
        <v>144</v>
      </c>
      <c r="I10" s="2" t="s">
        <v>145</v>
      </c>
      <c r="J10" s="2" t="s">
        <v>132</v>
      </c>
      <c r="K10" s="2" t="s">
        <v>195</v>
      </c>
      <c r="L10" s="2" t="s">
        <v>196</v>
      </c>
      <c r="M10" s="2" t="s">
        <v>197</v>
      </c>
      <c r="N10" s="2" t="s">
        <v>198</v>
      </c>
      <c r="O10" s="2" t="s">
        <v>132</v>
      </c>
      <c r="P10" s="2" t="s">
        <v>132</v>
      </c>
    </row>
    <row r="11">
      <c r="A11" s="2" t="s">
        <v>199</v>
      </c>
      <c r="B11" s="2" t="s">
        <v>40</v>
      </c>
      <c r="C11" s="2" t="s">
        <v>42</v>
      </c>
      <c r="D11" s="2">
        <v>2084.0</v>
      </c>
      <c r="E11" s="2">
        <v>2084.0</v>
      </c>
      <c r="F11" s="1" t="str">
        <f>IFERROR(__xludf.DUMMYFUNCTION("IF(or(D11="""",G11=0,I11=""0:""),"""",IFNA(INDEX(FILTER(Blocks!$A$2:$A1006,
                   Blocks!$E$2:$E1006&gt;=D11,
                   Blocks!$F$2:$F1006&gt;=E11,
                   Blocks!$D$2:$D1006&gt;=G11),1),""X""))"),"")</f>
        <v/>
      </c>
      <c r="G11" s="2">
        <f t="shared" si="1"/>
        <v>0</v>
      </c>
      <c r="H11" s="2" t="s">
        <v>132</v>
      </c>
      <c r="I11" s="2" t="s">
        <v>132</v>
      </c>
      <c r="J11" s="2" t="s">
        <v>132</v>
      </c>
      <c r="K11" s="2" t="s">
        <v>132</v>
      </c>
      <c r="L11" s="2" t="s">
        <v>132</v>
      </c>
      <c r="M11" s="2" t="s">
        <v>132</v>
      </c>
      <c r="N11" s="2" t="s">
        <v>132</v>
      </c>
      <c r="O11" s="2" t="s">
        <v>132</v>
      </c>
      <c r="P11" s="2" t="s">
        <v>200</v>
      </c>
      <c r="Q11" s="2" t="s">
        <v>201</v>
      </c>
    </row>
    <row r="12">
      <c r="A12" s="2" t="s">
        <v>202</v>
      </c>
      <c r="B12" s="2" t="s">
        <v>203</v>
      </c>
      <c r="C12" s="2" t="s">
        <v>204</v>
      </c>
      <c r="D12" s="2">
        <v>800.0</v>
      </c>
      <c r="E12" s="2">
        <v>600.0</v>
      </c>
      <c r="F12" s="1" t="str">
        <f>IFERROR(__xludf.DUMMYFUNCTION("IF(or(D12="""",G12=0,I12=""0:""),"""",IFNA(INDEX(FILTER(Blocks!$A$2:$A1006,
                   Blocks!$E$2:$E1006&gt;=D12,
                   Blocks!$F$2:$F1006&gt;=E12,
                   Blocks!$D$2:$D1006&gt;=G12),1),""X""))"),"A")</f>
        <v>A</v>
      </c>
      <c r="G12" s="2">
        <f t="shared" si="1"/>
        <v>9</v>
      </c>
      <c r="H12" s="2" t="s">
        <v>163</v>
      </c>
      <c r="I12" s="2" t="s">
        <v>164</v>
      </c>
      <c r="J12" s="2" t="s">
        <v>132</v>
      </c>
      <c r="K12" s="2" t="s">
        <v>132</v>
      </c>
      <c r="L12" s="2" t="s">
        <v>205</v>
      </c>
      <c r="M12" s="2" t="s">
        <v>132</v>
      </c>
      <c r="N12" s="2" t="s">
        <v>132</v>
      </c>
      <c r="O12" s="2" t="s">
        <v>206</v>
      </c>
      <c r="P12" s="2" t="s">
        <v>207</v>
      </c>
      <c r="Q12" s="2" t="s">
        <v>208</v>
      </c>
    </row>
    <row r="13">
      <c r="A13" s="2" t="s">
        <v>209</v>
      </c>
      <c r="B13" s="2" t="s">
        <v>210</v>
      </c>
      <c r="C13" s="2" t="s">
        <v>211</v>
      </c>
      <c r="D13" s="10"/>
      <c r="E13" s="10"/>
      <c r="F13" s="1" t="str">
        <f>IFERROR(__xludf.DUMMYFUNCTION("IF(or(D13="""",G13=0,I13=""0:""),"""",IFNA(INDEX(FILTER(Blocks!$A$2:$A1006,
                   Blocks!$E$2:$E1006&gt;=D13,
                   Blocks!$F$2:$F1006&gt;=E13,
                   Blocks!$D$2:$D1006&gt;=G13),1),""X""))"),"")</f>
        <v/>
      </c>
      <c r="G13" s="2">
        <f t="shared" si="1"/>
        <v>18</v>
      </c>
      <c r="H13" s="2" t="s">
        <v>144</v>
      </c>
      <c r="I13" s="2" t="s">
        <v>145</v>
      </c>
      <c r="J13" s="2" t="s">
        <v>132</v>
      </c>
      <c r="K13" s="2" t="s">
        <v>212</v>
      </c>
      <c r="L13" s="2" t="s">
        <v>213</v>
      </c>
      <c r="M13" s="2" t="s">
        <v>132</v>
      </c>
      <c r="N13" s="2" t="s">
        <v>214</v>
      </c>
      <c r="O13" s="2" t="s">
        <v>132</v>
      </c>
      <c r="P13" s="2" t="s">
        <v>132</v>
      </c>
      <c r="Q13" s="2" t="s">
        <v>215</v>
      </c>
    </row>
    <row r="14">
      <c r="A14" s="2" t="s">
        <v>216</v>
      </c>
      <c r="B14" s="2" t="s">
        <v>217</v>
      </c>
      <c r="C14" s="2" t="s">
        <v>218</v>
      </c>
      <c r="D14" s="10"/>
      <c r="E14" s="10"/>
      <c r="F14" s="1" t="str">
        <f>IFERROR(__xludf.DUMMYFUNCTION("IF(or(D14="""",G14=0,I14=""0:""),"""",IFNA(INDEX(FILTER(Blocks!$A$2:$A1006,
                   Blocks!$E$2:$E1006&gt;=D14,
                   Blocks!$F$2:$F1006&gt;=E14,
                   Blocks!$D$2:$D1006&gt;=G14),1),""X""))"),"")</f>
        <v/>
      </c>
      <c r="G14" s="2">
        <f t="shared" si="1"/>
        <v>0</v>
      </c>
      <c r="H14" s="2" t="s">
        <v>132</v>
      </c>
      <c r="I14" s="2" t="s">
        <v>132</v>
      </c>
      <c r="J14" s="2" t="s">
        <v>132</v>
      </c>
      <c r="K14" s="2" t="s">
        <v>132</v>
      </c>
      <c r="L14" s="2" t="s">
        <v>132</v>
      </c>
      <c r="M14" s="2" t="s">
        <v>132</v>
      </c>
      <c r="N14" s="2" t="s">
        <v>132</v>
      </c>
      <c r="O14" s="2" t="s">
        <v>132</v>
      </c>
      <c r="P14" s="2" t="s">
        <v>132</v>
      </c>
      <c r="Q14" s="2" t="s">
        <v>219</v>
      </c>
    </row>
    <row r="15">
      <c r="A15" s="2" t="s">
        <v>220</v>
      </c>
      <c r="B15" s="2" t="s">
        <v>221</v>
      </c>
      <c r="C15" s="2" t="s">
        <v>222</v>
      </c>
      <c r="D15" s="2">
        <v>1200.0</v>
      </c>
      <c r="E15" s="2">
        <v>1200.0</v>
      </c>
      <c r="F15" s="1" t="str">
        <f>IFERROR(__xludf.DUMMYFUNCTION("IF(or(D15="""",G15=0,I15=""0:""),"""",IFNA(INDEX(FILTER(Blocks!$A$2:$A1006,
                   Blocks!$E$2:$E1006&gt;=D15,
                   Blocks!$F$2:$F1006&gt;=E15,
                   Blocks!$D$2:$D1006&gt;=G15),1),""X""))"),"ACE")</f>
        <v>ACE</v>
      </c>
      <c r="G15" s="2">
        <f t="shared" si="1"/>
        <v>18</v>
      </c>
      <c r="H15" s="2" t="s">
        <v>163</v>
      </c>
      <c r="I15" s="2" t="s">
        <v>164</v>
      </c>
      <c r="J15" s="2" t="s">
        <v>132</v>
      </c>
      <c r="K15" s="2" t="s">
        <v>132</v>
      </c>
      <c r="L15" s="2" t="s">
        <v>223</v>
      </c>
      <c r="M15" s="2" t="s">
        <v>173</v>
      </c>
      <c r="N15" s="2" t="s">
        <v>224</v>
      </c>
      <c r="O15" s="2" t="s">
        <v>225</v>
      </c>
      <c r="P15" s="2" t="s">
        <v>226</v>
      </c>
      <c r="Q15" s="2" t="s">
        <v>227</v>
      </c>
    </row>
    <row r="16">
      <c r="A16" s="2" t="s">
        <v>228</v>
      </c>
      <c r="B16" s="2" t="s">
        <v>229</v>
      </c>
      <c r="C16" s="2" t="s">
        <v>230</v>
      </c>
      <c r="D16" s="2">
        <v>1413.885</v>
      </c>
      <c r="E16" s="2">
        <v>1431.805</v>
      </c>
      <c r="F16" s="1" t="str">
        <f>IFERROR(__xludf.DUMMYFUNCTION("IF(or(D16="""",G16=0,I16=""0:""),"""",IFNA(INDEX(FILTER(Blocks!$A$2:$A1006,
                   Blocks!$E$2:$E1006&gt;=D16,
                   Blocks!$F$2:$F1006&gt;=E16,
                   Blocks!$D$2:$D1006&gt;=G16),1),""X""))"),"ACE")</f>
        <v>ACE</v>
      </c>
      <c r="G16" s="2">
        <f t="shared" si="1"/>
        <v>16</v>
      </c>
      <c r="H16" s="2" t="s">
        <v>144</v>
      </c>
      <c r="I16" s="2" t="s">
        <v>145</v>
      </c>
      <c r="J16" s="2" t="s">
        <v>132</v>
      </c>
      <c r="K16" s="2" t="s">
        <v>132</v>
      </c>
      <c r="L16" s="2" t="s">
        <v>231</v>
      </c>
      <c r="M16" s="2" t="s">
        <v>147</v>
      </c>
      <c r="N16" s="2" t="s">
        <v>232</v>
      </c>
      <c r="O16" s="2" t="s">
        <v>132</v>
      </c>
      <c r="P16" s="2" t="s">
        <v>233</v>
      </c>
      <c r="Q16" s="2" t="s">
        <v>234</v>
      </c>
    </row>
    <row r="17">
      <c r="A17" s="2" t="s">
        <v>235</v>
      </c>
      <c r="B17" s="2" t="s">
        <v>236</v>
      </c>
      <c r="C17" s="2" t="s">
        <v>237</v>
      </c>
      <c r="D17" s="2">
        <v>1000.0</v>
      </c>
      <c r="E17" s="2">
        <v>1000.0</v>
      </c>
      <c r="F17" s="1" t="str">
        <f>IFERROR(__xludf.DUMMYFUNCTION("IF(or(D17="""",G17=0,I17=""0:""),"""",IFNA(INDEX(FILTER(Blocks!$A$2:$A1006,
                   Blocks!$E$2:$E1006&gt;=D17,
                   Blocks!$F$2:$F1006&gt;=E17,
                   Blocks!$D$2:$D1006&gt;=G17),1),""X""))"),"A")</f>
        <v>A</v>
      </c>
      <c r="G17" s="2">
        <f t="shared" si="1"/>
        <v>8</v>
      </c>
      <c r="H17" s="2" t="s">
        <v>238</v>
      </c>
      <c r="I17" s="2" t="s">
        <v>239</v>
      </c>
      <c r="J17" s="2" t="s">
        <v>132</v>
      </c>
      <c r="K17" s="2" t="s">
        <v>132</v>
      </c>
      <c r="L17" s="2" t="s">
        <v>240</v>
      </c>
      <c r="M17" s="2" t="s">
        <v>132</v>
      </c>
      <c r="N17" s="2" t="s">
        <v>241</v>
      </c>
      <c r="O17" s="2" t="s">
        <v>132</v>
      </c>
      <c r="P17" s="2" t="s">
        <v>132</v>
      </c>
    </row>
    <row r="18">
      <c r="A18" s="2" t="s">
        <v>242</v>
      </c>
      <c r="B18" s="2" t="s">
        <v>243</v>
      </c>
      <c r="C18" s="2" t="s">
        <v>244</v>
      </c>
      <c r="D18" s="2">
        <v>1650.0</v>
      </c>
      <c r="E18" s="2">
        <v>1100.0</v>
      </c>
      <c r="F18" s="1" t="str">
        <f>IFERROR(__xludf.DUMMYFUNCTION("IF(or(D18="""",G18=0,I18=""0:""),"""",IFNA(INDEX(FILTER(Blocks!$A$2:$A1006,
                   Blocks!$E$2:$E1006&gt;=D18,
                   Blocks!$F$2:$F1006&gt;=E18,
                   Blocks!$D$2:$D1006&gt;=G18),1),""X""))"),"ACV")</f>
        <v>ACV</v>
      </c>
      <c r="G18" s="2">
        <f t="shared" si="1"/>
        <v>25</v>
      </c>
      <c r="H18" s="2" t="s">
        <v>144</v>
      </c>
      <c r="I18" s="2" t="s">
        <v>145</v>
      </c>
      <c r="J18" s="2" t="s">
        <v>132</v>
      </c>
      <c r="K18" s="2" t="s">
        <v>132</v>
      </c>
      <c r="L18" s="2" t="s">
        <v>245</v>
      </c>
      <c r="M18" s="2" t="s">
        <v>246</v>
      </c>
      <c r="N18" s="2" t="s">
        <v>247</v>
      </c>
      <c r="O18" s="2" t="s">
        <v>248</v>
      </c>
      <c r="P18" s="2" t="s">
        <v>249</v>
      </c>
      <c r="Q18" s="2" t="s">
        <v>250</v>
      </c>
    </row>
    <row r="19">
      <c r="A19" s="2" t="s">
        <v>251</v>
      </c>
      <c r="B19" s="2" t="s">
        <v>252</v>
      </c>
      <c r="C19" s="2" t="s">
        <v>253</v>
      </c>
      <c r="D19" s="2">
        <v>1436.19</v>
      </c>
      <c r="E19" s="2">
        <v>1454.11</v>
      </c>
      <c r="F19" s="1" t="str">
        <f>IFERROR(__xludf.DUMMYFUNCTION("IF(or(D19="""",G19=0,I19=""0:""),"""",IFNA(INDEX(FILTER(Blocks!$A$2:$A1006,
                   Blocks!$E$2:$E1006&gt;=D19,
                   Blocks!$F$2:$F1006&gt;=E19,
                   Blocks!$D$2:$D1006&gt;=G19),1),""X""))"),"ACE")</f>
        <v>ACE</v>
      </c>
      <c r="G19" s="2">
        <f t="shared" si="1"/>
        <v>10</v>
      </c>
      <c r="H19" s="2" t="s">
        <v>144</v>
      </c>
      <c r="I19" s="2" t="s">
        <v>145</v>
      </c>
      <c r="J19" s="2" t="s">
        <v>254</v>
      </c>
      <c r="K19" s="2" t="s">
        <v>132</v>
      </c>
      <c r="L19" s="2" t="s">
        <v>255</v>
      </c>
      <c r="M19" s="2" t="s">
        <v>256</v>
      </c>
      <c r="N19" s="2" t="s">
        <v>257</v>
      </c>
      <c r="O19" s="2" t="s">
        <v>132</v>
      </c>
      <c r="P19" s="2" t="s">
        <v>258</v>
      </c>
      <c r="Q19" s="2" t="s">
        <v>259</v>
      </c>
    </row>
    <row r="20">
      <c r="A20" s="2" t="s">
        <v>260</v>
      </c>
      <c r="B20" s="2" t="s">
        <v>261</v>
      </c>
      <c r="C20" s="2" t="s">
        <v>262</v>
      </c>
      <c r="D20" s="2">
        <v>1000.0</v>
      </c>
      <c r="E20" s="2">
        <v>1000.0</v>
      </c>
      <c r="F20" s="1" t="str">
        <f>IFERROR(__xludf.DUMMYFUNCTION("IF(or(D20="""",G20=0,I20=""0:""),"""",IFNA(INDEX(FILTER(Blocks!$A$2:$A1006,
                   Blocks!$E$2:$E1006&gt;=D20,
                   Blocks!$F$2:$F1006&gt;=E20,
                   Blocks!$D$2:$D1006&gt;=G20),1),""X""))"),"A")</f>
        <v>A</v>
      </c>
      <c r="G20" s="2">
        <f t="shared" si="1"/>
        <v>15</v>
      </c>
      <c r="H20" s="2" t="s">
        <v>144</v>
      </c>
      <c r="I20" s="2" t="s">
        <v>263</v>
      </c>
      <c r="J20" s="2" t="s">
        <v>132</v>
      </c>
      <c r="K20" s="2" t="s">
        <v>264</v>
      </c>
      <c r="L20" s="2" t="s">
        <v>265</v>
      </c>
      <c r="M20" s="2" t="s">
        <v>132</v>
      </c>
      <c r="N20" s="2" t="s">
        <v>266</v>
      </c>
      <c r="O20" s="2" t="s">
        <v>132</v>
      </c>
      <c r="P20" s="2" t="s">
        <v>267</v>
      </c>
    </row>
    <row r="21">
      <c r="A21" s="2" t="s">
        <v>268</v>
      </c>
      <c r="B21" s="2" t="s">
        <v>269</v>
      </c>
      <c r="C21" s="2" t="s">
        <v>270</v>
      </c>
      <c r="D21" s="2">
        <v>1000.0</v>
      </c>
      <c r="E21" s="2">
        <v>1000.0</v>
      </c>
      <c r="F21" s="1" t="str">
        <f>IFERROR(__xludf.DUMMYFUNCTION("IF(or(D21="""",G21=0,I21=""0:""),"""",IFNA(INDEX(FILTER(Blocks!$A$2:$A1006,
                   Blocks!$E$2:$E1006&gt;=D21,
                   Blocks!$F$2:$F1006&gt;=E21,
                   Blocks!$D$2:$D1006&gt;=G21),1),""X""))"),"A")</f>
        <v>A</v>
      </c>
      <c r="G21" s="2">
        <f t="shared" si="1"/>
        <v>22</v>
      </c>
      <c r="H21" s="2" t="s">
        <v>144</v>
      </c>
      <c r="I21" s="2" t="s">
        <v>145</v>
      </c>
      <c r="J21" s="2" t="s">
        <v>132</v>
      </c>
      <c r="K21" s="2" t="s">
        <v>132</v>
      </c>
      <c r="L21" s="2" t="s">
        <v>271</v>
      </c>
      <c r="M21" s="2" t="s">
        <v>188</v>
      </c>
      <c r="N21" s="2" t="s">
        <v>272</v>
      </c>
      <c r="O21" s="2" t="s">
        <v>132</v>
      </c>
      <c r="P21" s="2" t="s">
        <v>132</v>
      </c>
    </row>
    <row r="22">
      <c r="A22" s="2" t="s">
        <v>273</v>
      </c>
      <c r="B22" s="2" t="s">
        <v>274</v>
      </c>
      <c r="C22" s="2" t="s">
        <v>275</v>
      </c>
      <c r="D22" s="2">
        <v>255.765</v>
      </c>
      <c r="E22" s="2">
        <v>273.685</v>
      </c>
      <c r="F22" s="1" t="str">
        <f>IFERROR(__xludf.DUMMYFUNCTION("IF(or(D22="""",G22=0,I22=""0:""),"""",IFNA(INDEX(FILTER(Blocks!$A$2:$A1006,
                   Blocks!$E$2:$E1006&gt;=D22,
                   Blocks!$F$2:$F1006&gt;=E22,
                   Blocks!$D$2:$D1006&gt;=G22),1),""X""))"),"")</f>
        <v/>
      </c>
      <c r="G22" s="2">
        <f t="shared" si="1"/>
        <v>0</v>
      </c>
      <c r="H22" s="2" t="s">
        <v>132</v>
      </c>
      <c r="I22" s="2" t="s">
        <v>132</v>
      </c>
      <c r="J22" s="2" t="s">
        <v>132</v>
      </c>
      <c r="K22" s="2" t="s">
        <v>132</v>
      </c>
      <c r="L22" s="2" t="s">
        <v>132</v>
      </c>
      <c r="M22" s="2" t="s">
        <v>132</v>
      </c>
      <c r="N22" s="2" t="s">
        <v>132</v>
      </c>
      <c r="O22" s="2" t="s">
        <v>132</v>
      </c>
      <c r="P22" s="2" t="s">
        <v>276</v>
      </c>
      <c r="Q22" s="2" t="s">
        <v>277</v>
      </c>
    </row>
    <row r="23">
      <c r="A23" s="2" t="s">
        <v>278</v>
      </c>
      <c r="B23" s="2" t="s">
        <v>279</v>
      </c>
      <c r="C23" s="2" t="s">
        <v>280</v>
      </c>
      <c r="D23" s="10"/>
      <c r="E23" s="10"/>
      <c r="F23" s="1" t="str">
        <f>IFERROR(__xludf.DUMMYFUNCTION("IF(or(D23="""",G23=0,I23=""0:""),"""",IFNA(INDEX(FILTER(Blocks!$A$2:$A1006,
                   Blocks!$E$2:$E1006&gt;=D23,
                   Blocks!$F$2:$F1006&gt;=E23,
                   Blocks!$D$2:$D1006&gt;=G23),1),""X""))"),"")</f>
        <v/>
      </c>
      <c r="G23" s="2">
        <f t="shared" si="1"/>
        <v>0</v>
      </c>
      <c r="H23" s="2" t="s">
        <v>132</v>
      </c>
      <c r="I23" s="2" t="s">
        <v>132</v>
      </c>
      <c r="J23" s="2" t="s">
        <v>132</v>
      </c>
      <c r="K23" s="2" t="s">
        <v>132</v>
      </c>
      <c r="L23" s="2" t="s">
        <v>132</v>
      </c>
      <c r="M23" s="2" t="s">
        <v>132</v>
      </c>
      <c r="N23" s="2" t="s">
        <v>132</v>
      </c>
      <c r="O23" s="2" t="s">
        <v>132</v>
      </c>
      <c r="P23" s="2" t="s">
        <v>132</v>
      </c>
      <c r="Q23" s="2" t="s">
        <v>281</v>
      </c>
    </row>
    <row r="24">
      <c r="A24" s="2" t="s">
        <v>282</v>
      </c>
      <c r="B24" s="2" t="s">
        <v>283</v>
      </c>
      <c r="C24" s="2" t="s">
        <v>284</v>
      </c>
      <c r="D24" s="10"/>
      <c r="E24" s="10"/>
      <c r="F24" s="1" t="str">
        <f>IFERROR(__xludf.DUMMYFUNCTION("IF(or(D24="""",G24=0,I24=""0:""),"""",IFNA(INDEX(FILTER(Blocks!$A$2:$A1006,
                   Blocks!$E$2:$E1006&gt;=D24,
                   Blocks!$F$2:$F1006&gt;=E24,
                   Blocks!$D$2:$D1006&gt;=G24),1),""X""))"),"")</f>
        <v/>
      </c>
      <c r="G24" s="2">
        <f t="shared" si="1"/>
        <v>22</v>
      </c>
      <c r="H24" s="2" t="s">
        <v>285</v>
      </c>
      <c r="I24" s="2" t="s">
        <v>286</v>
      </c>
      <c r="J24" s="2" t="s">
        <v>132</v>
      </c>
      <c r="K24" s="2" t="s">
        <v>287</v>
      </c>
      <c r="L24" s="2" t="s">
        <v>288</v>
      </c>
      <c r="M24" s="2" t="s">
        <v>289</v>
      </c>
      <c r="N24" s="2" t="s">
        <v>290</v>
      </c>
      <c r="O24" s="2" t="s">
        <v>132</v>
      </c>
      <c r="P24" s="2" t="s">
        <v>132</v>
      </c>
      <c r="Q24" s="2" t="s">
        <v>291</v>
      </c>
    </row>
    <row r="25">
      <c r="A25" s="2" t="s">
        <v>292</v>
      </c>
      <c r="B25" s="2" t="s">
        <v>293</v>
      </c>
      <c r="C25" s="2" t="s">
        <v>294</v>
      </c>
      <c r="D25" s="2">
        <v>1000.0</v>
      </c>
      <c r="E25" s="2">
        <v>1000.0</v>
      </c>
      <c r="F25" s="1" t="str">
        <f>IFERROR(__xludf.DUMMYFUNCTION("IF(or(D25="""",G25=0,I25=""0:""),"""",IFNA(INDEX(FILTER(Blocks!$A$2:$A1006,
                   Blocks!$E$2:$E1006&gt;=D25,
                   Blocks!$F$2:$F1006&gt;=E25,
                   Blocks!$D$2:$D1006&gt;=G25),1),""X""))"),"A")</f>
        <v>A</v>
      </c>
      <c r="G25" s="2">
        <f t="shared" si="1"/>
        <v>22</v>
      </c>
      <c r="H25" s="2" t="s">
        <v>144</v>
      </c>
      <c r="I25" s="2" t="s">
        <v>145</v>
      </c>
      <c r="J25" s="2" t="s">
        <v>132</v>
      </c>
      <c r="K25" s="2" t="s">
        <v>132</v>
      </c>
      <c r="L25" s="2" t="s">
        <v>295</v>
      </c>
      <c r="M25" s="2" t="s">
        <v>188</v>
      </c>
      <c r="N25" s="2" t="s">
        <v>296</v>
      </c>
      <c r="O25" s="2" t="s">
        <v>132</v>
      </c>
      <c r="P25" s="2" t="s">
        <v>132</v>
      </c>
    </row>
    <row r="26">
      <c r="A26" s="2" t="s">
        <v>297</v>
      </c>
      <c r="B26" s="2" t="s">
        <v>298</v>
      </c>
      <c r="C26" s="2" t="s">
        <v>299</v>
      </c>
      <c r="D26" s="2">
        <v>1675.0</v>
      </c>
      <c r="E26" s="2">
        <v>1110.0</v>
      </c>
      <c r="F26" s="1" t="str">
        <f>IFERROR(__xludf.DUMMYFUNCTION("IF(or(D26="""",G26=0,I26=""0:""),"""",IFNA(INDEX(FILTER(Blocks!$A$2:$A1006,
                   Blocks!$E$2:$E1006&gt;=D26,
                   Blocks!$F$2:$F1006&gt;=E26,
                   Blocks!$D$2:$D1006&gt;=G26),1),""X""))"),"ACV")</f>
        <v>ACV</v>
      </c>
      <c r="G26" s="2">
        <f t="shared" si="1"/>
        <v>11</v>
      </c>
      <c r="H26" s="2" t="s">
        <v>300</v>
      </c>
      <c r="I26" s="2" t="s">
        <v>301</v>
      </c>
      <c r="J26" s="2" t="s">
        <v>132</v>
      </c>
      <c r="K26" s="2" t="s">
        <v>132</v>
      </c>
      <c r="L26" s="2" t="s">
        <v>147</v>
      </c>
      <c r="M26" s="2" t="s">
        <v>173</v>
      </c>
      <c r="N26" s="2" t="s">
        <v>132</v>
      </c>
      <c r="O26" s="2" t="s">
        <v>302</v>
      </c>
      <c r="P26" s="2" t="s">
        <v>132</v>
      </c>
    </row>
    <row r="27">
      <c r="A27" s="2" t="s">
        <v>303</v>
      </c>
      <c r="B27" s="2" t="s">
        <v>304</v>
      </c>
      <c r="C27" s="2" t="s">
        <v>305</v>
      </c>
      <c r="D27" s="2">
        <v>450.0</v>
      </c>
      <c r="E27" s="2">
        <v>450.0</v>
      </c>
      <c r="F27" s="1" t="str">
        <f>IFERROR(__xludf.DUMMYFUNCTION("IF(or(D27="""",G27=0,I27=""0:""),"""",IFNA(INDEX(FILTER(Blocks!$A$2:$A1006,
                   Blocks!$E$2:$E1006&gt;=D27,
                   Blocks!$F$2:$F1006&gt;=E27,
                   Blocks!$D$2:$D1006&gt;=G27),1),""X""))"),"BV")</f>
        <v>BV</v>
      </c>
      <c r="G27" s="2">
        <f t="shared" si="1"/>
        <v>12</v>
      </c>
      <c r="H27" s="2" t="s">
        <v>144</v>
      </c>
      <c r="I27" s="2" t="s">
        <v>145</v>
      </c>
      <c r="J27" s="2" t="s">
        <v>132</v>
      </c>
      <c r="K27" s="2" t="s">
        <v>132</v>
      </c>
      <c r="L27" s="2" t="s">
        <v>306</v>
      </c>
      <c r="M27" s="2" t="s">
        <v>132</v>
      </c>
      <c r="N27" s="2" t="s">
        <v>307</v>
      </c>
      <c r="O27" s="2" t="s">
        <v>132</v>
      </c>
      <c r="P27" s="2" t="s">
        <v>308</v>
      </c>
      <c r="Q27" s="2" t="s">
        <v>309</v>
      </c>
    </row>
    <row r="28">
      <c r="A28" s="2" t="s">
        <v>310</v>
      </c>
      <c r="B28" s="2" t="s">
        <v>311</v>
      </c>
      <c r="C28" s="2" t="s">
        <v>312</v>
      </c>
      <c r="D28" s="10"/>
      <c r="E28" s="10"/>
      <c r="F28" s="1" t="str">
        <f>IFERROR(__xludf.DUMMYFUNCTION("IF(or(D28="""",G28=0,I28=""0:""),"""",IFNA(INDEX(FILTER(Blocks!$A$2:$A1006,
                   Blocks!$E$2:$E1006&gt;=D28,
                   Blocks!$F$2:$F1006&gt;=E28,
                   Blocks!$D$2:$D1006&gt;=G28),1),""X""))"),"")</f>
        <v/>
      </c>
      <c r="G28" s="2">
        <f t="shared" si="1"/>
        <v>8</v>
      </c>
      <c r="H28" s="2" t="s">
        <v>313</v>
      </c>
      <c r="I28" s="2" t="s">
        <v>263</v>
      </c>
      <c r="J28" s="2" t="s">
        <v>132</v>
      </c>
      <c r="K28" s="2" t="s">
        <v>314</v>
      </c>
      <c r="L28" s="2" t="s">
        <v>132</v>
      </c>
      <c r="M28" s="2" t="s">
        <v>132</v>
      </c>
      <c r="N28" s="2" t="s">
        <v>132</v>
      </c>
      <c r="O28" s="2" t="s">
        <v>132</v>
      </c>
      <c r="P28" s="2" t="s">
        <v>132</v>
      </c>
      <c r="Q28" s="2" t="s">
        <v>315</v>
      </c>
    </row>
    <row r="29">
      <c r="A29" s="2" t="s">
        <v>316</v>
      </c>
      <c r="B29" s="2" t="s">
        <v>317</v>
      </c>
      <c r="C29" s="2" t="s">
        <v>318</v>
      </c>
      <c r="D29" s="10"/>
      <c r="E29" s="10"/>
      <c r="F29" s="1" t="str">
        <f>IFERROR(__xludf.DUMMYFUNCTION("IF(or(D29="""",G29=0,I29=""0:""),"""",IFNA(INDEX(FILTER(Blocks!$A$2:$A1006,
                   Blocks!$E$2:$E1006&gt;=D29,
                   Blocks!$F$2:$F1006&gt;=E29,
                   Blocks!$D$2:$D1006&gt;=G29),1),""X""))"),"")</f>
        <v/>
      </c>
      <c r="G29" s="2">
        <f t="shared" si="1"/>
        <v>0</v>
      </c>
      <c r="H29" s="2" t="s">
        <v>132</v>
      </c>
      <c r="I29" s="2" t="s">
        <v>132</v>
      </c>
      <c r="J29" s="2" t="s">
        <v>132</v>
      </c>
      <c r="K29" s="2" t="s">
        <v>132</v>
      </c>
      <c r="L29" s="2" t="s">
        <v>132</v>
      </c>
      <c r="M29" s="2" t="s">
        <v>132</v>
      </c>
      <c r="N29" s="2" t="s">
        <v>132</v>
      </c>
      <c r="O29" s="2" t="s">
        <v>132</v>
      </c>
      <c r="P29" s="2" t="s">
        <v>132</v>
      </c>
      <c r="Q29" s="2" t="s">
        <v>319</v>
      </c>
    </row>
    <row r="30">
      <c r="A30" s="2" t="s">
        <v>320</v>
      </c>
      <c r="B30" s="2" t="s">
        <v>321</v>
      </c>
      <c r="C30" s="2" t="s">
        <v>322</v>
      </c>
      <c r="D30" s="2">
        <v>1000.0</v>
      </c>
      <c r="E30" s="2">
        <v>1000.0</v>
      </c>
      <c r="F30" s="1" t="str">
        <f>IFERROR(__xludf.DUMMYFUNCTION("IF(or(D30="""",G30=0,I30=""0:""),"""",IFNA(INDEX(FILTER(Blocks!$A$2:$A1006,
                   Blocks!$E$2:$E1006&gt;=D30,
                   Blocks!$F$2:$F1006&gt;=E30,
                   Blocks!$D$2:$D1006&gt;=G30),1),""X""))"),"A")</f>
        <v>A</v>
      </c>
      <c r="G30" s="2">
        <f t="shared" si="1"/>
        <v>8</v>
      </c>
      <c r="H30" s="2" t="s">
        <v>163</v>
      </c>
      <c r="I30" s="2" t="s">
        <v>164</v>
      </c>
      <c r="J30" s="2" t="s">
        <v>132</v>
      </c>
      <c r="K30" s="2" t="s">
        <v>132</v>
      </c>
      <c r="L30" s="2" t="s">
        <v>323</v>
      </c>
      <c r="M30" s="2" t="s">
        <v>324</v>
      </c>
      <c r="N30" s="2" t="s">
        <v>206</v>
      </c>
      <c r="O30" s="2" t="s">
        <v>132</v>
      </c>
      <c r="Q30" s="2" t="s">
        <v>208</v>
      </c>
    </row>
    <row r="31">
      <c r="A31" s="2" t="s">
        <v>325</v>
      </c>
      <c r="B31" s="2" t="s">
        <v>326</v>
      </c>
      <c r="C31" s="2" t="s">
        <v>327</v>
      </c>
      <c r="D31" s="10"/>
      <c r="E31" s="10"/>
      <c r="F31" s="1" t="str">
        <f>IFERROR(__xludf.DUMMYFUNCTION("IF(or(D31="""",G31=0,I31=""0:""),"""",IFNA(INDEX(FILTER(Blocks!$A$2:$A1006,
                   Blocks!$E$2:$E1006&gt;=D31,
                   Blocks!$F$2:$F1006&gt;=E31,
                   Blocks!$D$2:$D1006&gt;=G31),1),""X""))"),"")</f>
        <v/>
      </c>
      <c r="G31" s="2">
        <f t="shared" si="1"/>
        <v>15</v>
      </c>
      <c r="H31" s="2" t="s">
        <v>328</v>
      </c>
      <c r="I31" s="2" t="s">
        <v>329</v>
      </c>
      <c r="J31" s="2" t="s">
        <v>330</v>
      </c>
      <c r="K31" s="2" t="s">
        <v>331</v>
      </c>
      <c r="L31" s="2" t="s">
        <v>332</v>
      </c>
      <c r="M31" s="2" t="s">
        <v>132</v>
      </c>
      <c r="N31" s="2" t="s">
        <v>333</v>
      </c>
      <c r="O31" s="2" t="s">
        <v>132</v>
      </c>
      <c r="P31" s="2" t="s">
        <v>132</v>
      </c>
      <c r="Q31" s="2" t="s">
        <v>334</v>
      </c>
    </row>
    <row r="32">
      <c r="A32" s="2" t="s">
        <v>335</v>
      </c>
      <c r="B32" s="2" t="s">
        <v>336</v>
      </c>
      <c r="C32" s="2" t="s">
        <v>337</v>
      </c>
      <c r="D32" s="10"/>
      <c r="E32" s="10"/>
      <c r="F32" s="1" t="str">
        <f>IFERROR(__xludf.DUMMYFUNCTION("IF(or(D32="""",G32=0,I32=""0:""),"""",IFNA(INDEX(FILTER(Blocks!$A$2:$A1006,
                   Blocks!$E$2:$E1006&gt;=D32,
                   Blocks!$F$2:$F1006&gt;=E32,
                   Blocks!$D$2:$D1006&gt;=G32),1),""X""))"),"")</f>
        <v/>
      </c>
      <c r="G32" s="2">
        <f t="shared" si="1"/>
        <v>0</v>
      </c>
      <c r="H32" s="2" t="s">
        <v>132</v>
      </c>
      <c r="I32" s="2" t="s">
        <v>132</v>
      </c>
      <c r="J32" s="2" t="s">
        <v>132</v>
      </c>
      <c r="K32" s="2" t="s">
        <v>132</v>
      </c>
      <c r="L32" s="2" t="s">
        <v>132</v>
      </c>
      <c r="M32" s="2" t="s">
        <v>132</v>
      </c>
      <c r="N32" s="2" t="s">
        <v>132</v>
      </c>
      <c r="O32" s="2" t="s">
        <v>132</v>
      </c>
      <c r="P32" s="2" t="s">
        <v>132</v>
      </c>
      <c r="Q32" s="2" t="s">
        <v>338</v>
      </c>
    </row>
    <row r="33">
      <c r="A33" s="2" t="s">
        <v>339</v>
      </c>
      <c r="B33" s="2" t="s">
        <v>340</v>
      </c>
      <c r="C33" s="2" t="s">
        <v>341</v>
      </c>
      <c r="D33" s="2">
        <v>600.0</v>
      </c>
      <c r="E33" s="2">
        <v>600.0</v>
      </c>
      <c r="F33" s="1" t="str">
        <f>IFERROR(__xludf.DUMMYFUNCTION("IF(or(D33="""",G33=0,I33=""0:""),"""",IFNA(INDEX(FILTER(Blocks!$A$2:$A1006,
                   Blocks!$E$2:$E1006&gt;=D33,
                   Blocks!$F$2:$F1006&gt;=E33,
                   Blocks!$D$2:$D1006&gt;=G33),1),""X""))"),"A")</f>
        <v>A</v>
      </c>
      <c r="G33" s="2">
        <f t="shared" si="1"/>
        <v>22</v>
      </c>
      <c r="H33" s="2" t="s">
        <v>342</v>
      </c>
      <c r="I33" s="2" t="s">
        <v>343</v>
      </c>
      <c r="J33" s="2" t="s">
        <v>344</v>
      </c>
      <c r="K33" s="2" t="s">
        <v>132</v>
      </c>
      <c r="L33" s="2" t="s">
        <v>345</v>
      </c>
      <c r="M33" s="2" t="s">
        <v>132</v>
      </c>
      <c r="N33" s="2" t="s">
        <v>346</v>
      </c>
      <c r="O33" s="2" t="s">
        <v>132</v>
      </c>
      <c r="P33" s="2" t="s">
        <v>132</v>
      </c>
      <c r="Q33" s="2" t="s">
        <v>347</v>
      </c>
    </row>
    <row r="34">
      <c r="A34" s="2" t="s">
        <v>348</v>
      </c>
      <c r="B34" s="2" t="s">
        <v>349</v>
      </c>
      <c r="C34" s="2" t="s">
        <v>350</v>
      </c>
      <c r="D34" s="2">
        <v>147.95</v>
      </c>
      <c r="E34" s="2">
        <v>212.05</v>
      </c>
      <c r="F34" s="1" t="str">
        <f>IFERROR(__xludf.DUMMYFUNCTION("IF(or(D34="""",G34=0,I34=""0:""),"""",IFNA(INDEX(FILTER(Blocks!$A$2:$A1006,
                   Blocks!$E$2:$E1006&gt;=D34,
                   Blocks!$F$2:$F1006&gt;=E34,
                   Blocks!$D$2:$D1006&gt;=G34),1),""X""))"),"D")</f>
        <v>D</v>
      </c>
      <c r="G34" s="2">
        <f t="shared" si="1"/>
        <v>9</v>
      </c>
      <c r="H34" s="2" t="s">
        <v>144</v>
      </c>
      <c r="I34" s="2" t="s">
        <v>145</v>
      </c>
      <c r="J34" s="2" t="s">
        <v>132</v>
      </c>
      <c r="K34" s="2" t="s">
        <v>351</v>
      </c>
      <c r="L34" s="2" t="s">
        <v>132</v>
      </c>
      <c r="M34" s="2" t="s">
        <v>132</v>
      </c>
      <c r="N34" s="2" t="s">
        <v>132</v>
      </c>
      <c r="O34" s="2" t="s">
        <v>132</v>
      </c>
      <c r="P34" s="2" t="s">
        <v>132</v>
      </c>
    </row>
    <row r="35">
      <c r="A35" s="2" t="s">
        <v>352</v>
      </c>
      <c r="B35" s="2" t="s">
        <v>353</v>
      </c>
      <c r="C35" s="2" t="s">
        <v>354</v>
      </c>
      <c r="D35" s="2">
        <v>428.5</v>
      </c>
      <c r="E35" s="2">
        <v>380.5</v>
      </c>
      <c r="F35" s="1" t="str">
        <f>IFERROR(__xludf.DUMMYFUNCTION("IF(or(D35="""",G35=0,I35=""0:""),"""",IFNA(INDEX(FILTER(Blocks!$A$2:$A1006,
                   Blocks!$E$2:$E1006&gt;=D35,
                   Blocks!$F$2:$F1006&gt;=E35,
                   Blocks!$D$2:$D1006&gt;=G35),1),""X""))"),"A")</f>
        <v>A</v>
      </c>
      <c r="G35" s="2">
        <f t="shared" si="1"/>
        <v>18</v>
      </c>
      <c r="H35" s="2" t="s">
        <v>144</v>
      </c>
      <c r="I35" s="2" t="s">
        <v>145</v>
      </c>
      <c r="J35" s="2" t="s">
        <v>355</v>
      </c>
      <c r="K35" s="2" t="s">
        <v>356</v>
      </c>
      <c r="L35" s="2" t="s">
        <v>132</v>
      </c>
      <c r="M35" s="2" t="s">
        <v>132</v>
      </c>
      <c r="N35" s="2" t="s">
        <v>132</v>
      </c>
      <c r="O35" s="2" t="s">
        <v>132</v>
      </c>
      <c r="P35" s="2" t="s">
        <v>132</v>
      </c>
    </row>
    <row r="36">
      <c r="A36" s="2" t="s">
        <v>357</v>
      </c>
      <c r="B36" s="2" t="s">
        <v>358</v>
      </c>
      <c r="C36" s="2" t="s">
        <v>359</v>
      </c>
      <c r="D36" s="2">
        <v>1117.5</v>
      </c>
      <c r="E36" s="2">
        <v>1117.5</v>
      </c>
      <c r="F36" s="1" t="str">
        <f>IFERROR(__xludf.DUMMYFUNCTION("IF(or(D36="""",G36=0,I36=""0:""),"""",IFNA(INDEX(FILTER(Blocks!$A$2:$A1006,
                   Blocks!$E$2:$E1006&gt;=D36,
                   Blocks!$F$2:$F1006&gt;=E36,
                   Blocks!$D$2:$D1006&gt;=G36),1),""X""))"),"ACE")</f>
        <v>ACE</v>
      </c>
      <c r="G36" s="2">
        <f t="shared" si="1"/>
        <v>19</v>
      </c>
      <c r="H36" s="2" t="s">
        <v>144</v>
      </c>
      <c r="I36" s="2" t="s">
        <v>145</v>
      </c>
      <c r="J36" s="2" t="s">
        <v>132</v>
      </c>
      <c r="K36" s="2" t="s">
        <v>132</v>
      </c>
      <c r="L36" s="2" t="s">
        <v>360</v>
      </c>
      <c r="M36" s="2" t="s">
        <v>361</v>
      </c>
      <c r="N36" s="2" t="s">
        <v>132</v>
      </c>
      <c r="O36" s="2" t="s">
        <v>362</v>
      </c>
      <c r="P36" s="2" t="s">
        <v>132</v>
      </c>
    </row>
    <row r="37">
      <c r="A37" s="2" t="s">
        <v>363</v>
      </c>
      <c r="B37" s="2" t="s">
        <v>364</v>
      </c>
      <c r="C37" s="2" t="s">
        <v>365</v>
      </c>
      <c r="D37" s="10"/>
      <c r="E37" s="10"/>
      <c r="F37" s="1" t="str">
        <f>IFERROR(__xludf.DUMMYFUNCTION("IF(or(D37="""",G37=0,I37=""0:""),"""",IFNA(INDEX(FILTER(Blocks!$A$2:$A1006,
                   Blocks!$E$2:$E1006&gt;=D37,
                   Blocks!$F$2:$F1006&gt;=E37,
                   Blocks!$D$2:$D1006&gt;=G37),1),""X""))"),"")</f>
        <v/>
      </c>
      <c r="G37" s="2">
        <f t="shared" si="1"/>
        <v>0</v>
      </c>
      <c r="H37" s="2" t="s">
        <v>132</v>
      </c>
      <c r="I37" s="2" t="s">
        <v>132</v>
      </c>
      <c r="J37" s="2" t="s">
        <v>132</v>
      </c>
      <c r="K37" s="2" t="s">
        <v>132</v>
      </c>
      <c r="L37" s="2" t="s">
        <v>132</v>
      </c>
      <c r="M37" s="2" t="s">
        <v>132</v>
      </c>
      <c r="N37" s="2" t="s">
        <v>132</v>
      </c>
      <c r="O37" s="2" t="s">
        <v>132</v>
      </c>
      <c r="P37" s="2" t="s">
        <v>132</v>
      </c>
      <c r="Q37" s="2" t="s">
        <v>366</v>
      </c>
    </row>
    <row r="38">
      <c r="A38" s="2" t="s">
        <v>367</v>
      </c>
      <c r="B38" s="2" t="s">
        <v>368</v>
      </c>
      <c r="C38" s="2" t="s">
        <v>369</v>
      </c>
      <c r="D38" s="2">
        <v>418.24</v>
      </c>
      <c r="E38" s="2">
        <v>413.53</v>
      </c>
      <c r="F38" s="1" t="str">
        <f>IFERROR(__xludf.DUMMYFUNCTION("IF(or(D38="""",G38=0,I38=""0:""),"""",IFNA(INDEX(FILTER(Blocks!$A$2:$A1006,
                   Blocks!$E$2:$E1006&gt;=D38,
                   Blocks!$F$2:$F1006&gt;=E38,
                   Blocks!$D$2:$D1006&gt;=G38),1),""X""))"),"A")</f>
        <v>A</v>
      </c>
      <c r="G38" s="2">
        <f t="shared" si="1"/>
        <v>19</v>
      </c>
      <c r="H38" s="2" t="s">
        <v>144</v>
      </c>
      <c r="I38" s="2" t="s">
        <v>145</v>
      </c>
      <c r="J38" s="2" t="s">
        <v>132</v>
      </c>
      <c r="K38" s="2" t="s">
        <v>370</v>
      </c>
      <c r="L38" s="2" t="s">
        <v>132</v>
      </c>
      <c r="M38" s="2" t="s">
        <v>132</v>
      </c>
      <c r="N38" s="2" t="s">
        <v>132</v>
      </c>
      <c r="O38" s="2" t="s">
        <v>132</v>
      </c>
      <c r="P38" s="2" t="s">
        <v>132</v>
      </c>
    </row>
    <row r="39">
      <c r="A39" s="2" t="s">
        <v>371</v>
      </c>
      <c r="B39" s="2" t="s">
        <v>372</v>
      </c>
      <c r="C39" s="2" t="s">
        <v>373</v>
      </c>
      <c r="D39" s="2">
        <v>500.0</v>
      </c>
      <c r="E39" s="2">
        <v>400.0</v>
      </c>
      <c r="F39" s="1" t="str">
        <f>IFERROR(__xludf.DUMMYFUNCTION("IF(or(D39="""",G39=0,I39=""0:""),"""",IFNA(INDEX(FILTER(Blocks!$A$2:$A1006,
                   Blocks!$E$2:$E1006&gt;=D39,
                   Blocks!$F$2:$F1006&gt;=E39,
                   Blocks!$D$2:$D1006&gt;=G39),1),""X""))"),"A")</f>
        <v>A</v>
      </c>
      <c r="G39" s="2">
        <f t="shared" si="1"/>
        <v>18</v>
      </c>
      <c r="H39" s="2" t="s">
        <v>144</v>
      </c>
      <c r="I39" s="2" t="s">
        <v>145</v>
      </c>
      <c r="J39" s="2" t="s">
        <v>374</v>
      </c>
      <c r="K39" s="2" t="s">
        <v>132</v>
      </c>
      <c r="L39" s="2" t="s">
        <v>375</v>
      </c>
      <c r="M39" s="2" t="s">
        <v>132</v>
      </c>
      <c r="N39" s="2" t="s">
        <v>376</v>
      </c>
      <c r="O39" s="2" t="s">
        <v>132</v>
      </c>
      <c r="P39" s="2" t="s">
        <v>132</v>
      </c>
    </row>
    <row r="40">
      <c r="A40" s="2" t="s">
        <v>377</v>
      </c>
      <c r="B40" s="2" t="s">
        <v>372</v>
      </c>
      <c r="C40" s="2" t="s">
        <v>373</v>
      </c>
      <c r="D40" s="10"/>
      <c r="E40" s="10"/>
      <c r="F40" s="1" t="str">
        <f>IFERROR(__xludf.DUMMYFUNCTION("IF(or(D40="""",G40=0,I40=""0:""),"""",IFNA(INDEX(FILTER(Blocks!$A$2:$A1006,
                   Blocks!$E$2:$E1006&gt;=D40,
                   Blocks!$F$2:$F1006&gt;=E40,
                   Blocks!$D$2:$D1006&gt;=G40),1),""X""))"),"")</f>
        <v/>
      </c>
      <c r="G40" s="2">
        <f t="shared" si="1"/>
        <v>0</v>
      </c>
      <c r="H40" s="2" t="s">
        <v>132</v>
      </c>
      <c r="I40" s="2" t="s">
        <v>132</v>
      </c>
      <c r="J40" s="2" t="s">
        <v>132</v>
      </c>
      <c r="K40" s="2" t="s">
        <v>132</v>
      </c>
      <c r="L40" s="2" t="s">
        <v>132</v>
      </c>
      <c r="M40" s="2" t="s">
        <v>132</v>
      </c>
      <c r="N40" s="2" t="s">
        <v>132</v>
      </c>
      <c r="O40" s="2" t="s">
        <v>132</v>
      </c>
      <c r="P40" s="2" t="s">
        <v>132</v>
      </c>
      <c r="Q40" s="2" t="s">
        <v>378</v>
      </c>
    </row>
    <row r="41">
      <c r="A41" s="2" t="s">
        <v>379</v>
      </c>
      <c r="B41" s="2" t="s">
        <v>380</v>
      </c>
      <c r="C41" s="2" t="s">
        <v>381</v>
      </c>
      <c r="D41" s="10"/>
      <c r="E41" s="10"/>
      <c r="F41" s="1" t="str">
        <f>IFERROR(__xludf.DUMMYFUNCTION("IF(or(D41="""",G41=0,I41=""0:""),"""",IFNA(INDEX(FILTER(Blocks!$A$2:$A1006,
                   Blocks!$E$2:$E1006&gt;=D41,
                   Blocks!$F$2:$F1006&gt;=E41,
                   Blocks!$D$2:$D1006&gt;=G41),1),""X""))"),"")</f>
        <v/>
      </c>
      <c r="G41" s="2">
        <f t="shared" si="1"/>
        <v>0</v>
      </c>
      <c r="H41" s="2" t="s">
        <v>132</v>
      </c>
      <c r="I41" s="2" t="s">
        <v>132</v>
      </c>
      <c r="J41" s="2" t="s">
        <v>132</v>
      </c>
      <c r="K41" s="2" t="s">
        <v>132</v>
      </c>
      <c r="L41" s="2" t="s">
        <v>132</v>
      </c>
      <c r="M41" s="2" t="s">
        <v>132</v>
      </c>
      <c r="N41" s="2" t="s">
        <v>132</v>
      </c>
      <c r="O41" s="2" t="s">
        <v>132</v>
      </c>
      <c r="P41" s="2" t="s">
        <v>132</v>
      </c>
      <c r="Q41" s="2" t="s">
        <v>382</v>
      </c>
    </row>
    <row r="42">
      <c r="A42" s="2" t="s">
        <v>383</v>
      </c>
      <c r="B42" s="2" t="s">
        <v>384</v>
      </c>
      <c r="C42" s="2" t="s">
        <v>385</v>
      </c>
      <c r="D42" s="2">
        <v>1092.66</v>
      </c>
      <c r="E42" s="2">
        <v>1119.54</v>
      </c>
      <c r="F42" s="1" t="str">
        <f>IFERROR(__xludf.DUMMYFUNCTION("IF(or(D42="""",G42=0,I42=""0:""),"""",IFNA(INDEX(FILTER(Blocks!$A$2:$A1006,
                   Blocks!$E$2:$E1006&gt;=D42,
                   Blocks!$F$2:$F1006&gt;=E42,
                   Blocks!$D$2:$D1006&gt;=G42),1),""X""))"),"ACH")</f>
        <v>ACH</v>
      </c>
      <c r="G42" s="2">
        <f t="shared" si="1"/>
        <v>23</v>
      </c>
      <c r="H42" s="2" t="s">
        <v>144</v>
      </c>
      <c r="I42" s="2" t="s">
        <v>145</v>
      </c>
      <c r="J42" s="2" t="s">
        <v>132</v>
      </c>
      <c r="K42" s="2" t="s">
        <v>132</v>
      </c>
      <c r="L42" s="2" t="s">
        <v>386</v>
      </c>
      <c r="M42" s="2" t="s">
        <v>173</v>
      </c>
      <c r="N42" s="2" t="s">
        <v>387</v>
      </c>
      <c r="O42" s="2" t="s">
        <v>132</v>
      </c>
      <c r="P42" s="2" t="s">
        <v>132</v>
      </c>
    </row>
    <row r="43">
      <c r="A43" s="2" t="s">
        <v>388</v>
      </c>
      <c r="B43" s="2" t="s">
        <v>389</v>
      </c>
      <c r="C43" s="2" t="s">
        <v>390</v>
      </c>
      <c r="D43" s="2">
        <v>466.555</v>
      </c>
      <c r="E43" s="2">
        <v>466.555</v>
      </c>
      <c r="F43" s="1" t="str">
        <f>IFERROR(__xludf.DUMMYFUNCTION("IF(or(D43="""",G43=0,I43=""0:""),"""",IFNA(INDEX(FILTER(Blocks!$A$2:$A1006,
                   Blocks!$E$2:$E1006&gt;=D43,
                   Blocks!$F$2:$F1006&gt;=E43,
                   Blocks!$D$2:$D1006&gt;=G43),1),""X""))"),"")</f>
        <v/>
      </c>
      <c r="G43" s="2">
        <f t="shared" si="1"/>
        <v>0</v>
      </c>
      <c r="H43" s="2" t="s">
        <v>132</v>
      </c>
      <c r="I43" s="2" t="s">
        <v>132</v>
      </c>
      <c r="J43" s="2" t="s">
        <v>132</v>
      </c>
      <c r="K43" s="2" t="s">
        <v>132</v>
      </c>
      <c r="L43" s="2" t="s">
        <v>132</v>
      </c>
      <c r="M43" s="2" t="s">
        <v>132</v>
      </c>
      <c r="N43" s="2" t="s">
        <v>132</v>
      </c>
      <c r="O43" s="2" t="s">
        <v>132</v>
      </c>
      <c r="P43" s="2" t="s">
        <v>391</v>
      </c>
      <c r="Q43" s="2" t="s">
        <v>201</v>
      </c>
    </row>
    <row r="44">
      <c r="A44" s="2" t="s">
        <v>392</v>
      </c>
      <c r="B44" s="2" t="s">
        <v>393</v>
      </c>
      <c r="C44" s="2" t="s">
        <v>394</v>
      </c>
      <c r="D44" s="10"/>
      <c r="E44" s="10"/>
      <c r="F44" s="1" t="str">
        <f>IFERROR(__xludf.DUMMYFUNCTION("IF(or(D44="""",G44=0,I44=""0:""),"""",IFNA(INDEX(FILTER(Blocks!$A$2:$A1006,
                   Blocks!$E$2:$E1006&gt;=D44,
                   Blocks!$F$2:$F1006&gt;=E44,
                   Blocks!$D$2:$D1006&gt;=G44),1),""X""))"),"")</f>
        <v/>
      </c>
      <c r="G44" s="2">
        <f t="shared" si="1"/>
        <v>0</v>
      </c>
      <c r="H44" s="2" t="s">
        <v>132</v>
      </c>
      <c r="I44" s="2" t="s">
        <v>132</v>
      </c>
      <c r="J44" s="2" t="s">
        <v>132</v>
      </c>
      <c r="K44" s="2" t="s">
        <v>132</v>
      </c>
      <c r="L44" s="2" t="s">
        <v>132</v>
      </c>
      <c r="M44" s="2" t="s">
        <v>132</v>
      </c>
      <c r="N44" s="2" t="s">
        <v>132</v>
      </c>
      <c r="O44" s="2" t="s">
        <v>132</v>
      </c>
      <c r="P44" s="2" t="s">
        <v>132</v>
      </c>
      <c r="Q44" s="2" t="s">
        <v>395</v>
      </c>
    </row>
    <row r="45">
      <c r="A45" s="2" t="s">
        <v>396</v>
      </c>
      <c r="B45" s="2" t="s">
        <v>397</v>
      </c>
      <c r="C45" s="2" t="s">
        <v>398</v>
      </c>
      <c r="D45" s="2">
        <v>550.0</v>
      </c>
      <c r="E45" s="2">
        <v>550.0</v>
      </c>
      <c r="F45" s="1" t="str">
        <f>IFERROR(__xludf.DUMMYFUNCTION("IF(or(D45="""",G45=0,I45=""0:""),"""",IFNA(INDEX(FILTER(Blocks!$A$2:$A1006,
                   Blocks!$E$2:$E1006&gt;=D45,
                   Blocks!$F$2:$F1006&gt;=E45,
                   Blocks!$D$2:$D1006&gt;=G45),1),""X""))"),"D")</f>
        <v>D</v>
      </c>
      <c r="G45" s="2">
        <f t="shared" si="1"/>
        <v>9</v>
      </c>
      <c r="H45" s="2" t="s">
        <v>144</v>
      </c>
      <c r="I45" s="2" t="s">
        <v>145</v>
      </c>
      <c r="J45" s="2" t="s">
        <v>132</v>
      </c>
      <c r="K45" s="2" t="s">
        <v>132</v>
      </c>
      <c r="L45" s="2" t="s">
        <v>399</v>
      </c>
      <c r="M45" s="2" t="s">
        <v>173</v>
      </c>
      <c r="N45" s="2" t="s">
        <v>400</v>
      </c>
      <c r="O45" s="2" t="s">
        <v>132</v>
      </c>
      <c r="P45" s="2" t="s">
        <v>132</v>
      </c>
    </row>
    <row r="46">
      <c r="A46" s="2" t="s">
        <v>401</v>
      </c>
      <c r="B46" s="2" t="s">
        <v>402</v>
      </c>
      <c r="C46" s="2" t="s">
        <v>403</v>
      </c>
      <c r="D46" s="2">
        <v>1110.0</v>
      </c>
      <c r="E46" s="2">
        <v>1110.0</v>
      </c>
      <c r="F46" s="1" t="str">
        <f>IFERROR(__xludf.DUMMYFUNCTION("IF(or(D46="""",G46=0,I46=""0:""),"""",IFNA(INDEX(FILTER(Blocks!$A$2:$A1006,
                   Blocks!$E$2:$E1006&gt;=D46,
                   Blocks!$F$2:$F1006&gt;=E46,
                   Blocks!$D$2:$D1006&gt;=G46),1),""X""))"),"A")</f>
        <v>A</v>
      </c>
      <c r="G46" s="2">
        <f t="shared" si="1"/>
        <v>22</v>
      </c>
      <c r="H46" s="2" t="s">
        <v>163</v>
      </c>
      <c r="I46" s="2" t="s">
        <v>164</v>
      </c>
      <c r="J46" s="2" t="s">
        <v>132</v>
      </c>
      <c r="K46" s="2" t="s">
        <v>132</v>
      </c>
      <c r="L46" s="2" t="s">
        <v>404</v>
      </c>
      <c r="M46" s="2" t="s">
        <v>405</v>
      </c>
      <c r="N46" s="2" t="s">
        <v>406</v>
      </c>
      <c r="O46" s="2" t="s">
        <v>132</v>
      </c>
      <c r="P46" s="2" t="s">
        <v>207</v>
      </c>
      <c r="Q46" s="1" t="s">
        <v>208</v>
      </c>
    </row>
    <row r="47">
      <c r="A47" s="2" t="s">
        <v>407</v>
      </c>
      <c r="B47" s="2" t="s">
        <v>408</v>
      </c>
      <c r="C47" s="2" t="s">
        <v>409</v>
      </c>
      <c r="D47" s="10"/>
      <c r="E47" s="10"/>
      <c r="F47" s="1" t="str">
        <f>IFERROR(__xludf.DUMMYFUNCTION("IF(or(D47="""",G47=0,I47=""0:""),"""",IFNA(INDEX(FILTER(Blocks!$A$2:$A1006,
                   Blocks!$E$2:$E1006&gt;=D47,
                   Blocks!$F$2:$F1006&gt;=E47,
                   Blocks!$D$2:$D1006&gt;=G47),1),""X""))"),"")</f>
        <v/>
      </c>
      <c r="G47" s="2">
        <f t="shared" si="1"/>
        <v>18</v>
      </c>
      <c r="H47" s="2" t="s">
        <v>144</v>
      </c>
      <c r="I47" s="2" t="s">
        <v>145</v>
      </c>
      <c r="J47" s="2" t="s">
        <v>132</v>
      </c>
      <c r="K47" s="2" t="s">
        <v>132</v>
      </c>
      <c r="L47" s="2" t="s">
        <v>410</v>
      </c>
      <c r="M47" s="2" t="s">
        <v>405</v>
      </c>
      <c r="N47" s="2" t="s">
        <v>411</v>
      </c>
      <c r="O47" s="2" t="s">
        <v>132</v>
      </c>
      <c r="P47" s="2" t="s">
        <v>132</v>
      </c>
      <c r="Q47" s="1" t="s">
        <v>412</v>
      </c>
    </row>
    <row r="48">
      <c r="A48" s="2"/>
      <c r="B48" s="2"/>
      <c r="C48" s="2"/>
      <c r="D48" s="2"/>
      <c r="E48" s="2"/>
      <c r="F48" s="1"/>
      <c r="G48" s="2"/>
      <c r="H48" s="2"/>
      <c r="I48" s="2"/>
      <c r="J48" s="2"/>
      <c r="K48" s="2"/>
      <c r="L48" s="2"/>
      <c r="M48" s="2"/>
      <c r="N48" s="2"/>
      <c r="O48" s="2"/>
      <c r="P48" s="2"/>
      <c r="Q48" s="1"/>
    </row>
    <row r="49">
      <c r="A49" s="2"/>
      <c r="B49" s="2"/>
      <c r="C49" s="2"/>
      <c r="D49" s="2"/>
      <c r="E49" s="2"/>
      <c r="F49" s="1"/>
      <c r="G49" s="2"/>
      <c r="H49" s="2"/>
      <c r="I49" s="2"/>
      <c r="J49" s="2"/>
      <c r="K49" s="2"/>
      <c r="L49" s="2"/>
      <c r="M49" s="2"/>
      <c r="N49" s="2"/>
      <c r="O49" s="2"/>
      <c r="P49" s="2"/>
      <c r="Q49" s="1"/>
    </row>
    <row r="50">
      <c r="A50" s="2"/>
      <c r="B50" s="2"/>
      <c r="C50" s="2"/>
      <c r="D50" s="2"/>
      <c r="E50" s="2"/>
      <c r="F50" s="1"/>
      <c r="G50" s="2"/>
      <c r="H50" s="2"/>
      <c r="I50" s="2"/>
      <c r="J50" s="2"/>
      <c r="K50" s="2"/>
      <c r="L50" s="2"/>
      <c r="M50" s="2"/>
      <c r="N50" s="2"/>
      <c r="O50" s="2"/>
      <c r="P50" s="2"/>
      <c r="Q50" s="1"/>
    </row>
    <row r="51">
      <c r="D51" s="10"/>
      <c r="E51" s="10"/>
      <c r="F51" s="1"/>
      <c r="Q51" s="1"/>
    </row>
    <row r="52">
      <c r="E52" s="10" t="str">
        <f t="array" ref="E52:E59">sort(unique(F2:F45))</f>
        <v/>
      </c>
      <c r="H52" s="14" t="s">
        <v>413</v>
      </c>
      <c r="I52" s="15" t="str">
        <f t="array" ref="I52:P52">TRANSPOSE(E53:E60)</f>
        <v>A</v>
      </c>
      <c r="J52" s="15" t="s">
        <v>148</v>
      </c>
      <c r="K52" s="15" t="s">
        <v>141</v>
      </c>
      <c r="L52" s="15" t="s">
        <v>139</v>
      </c>
      <c r="M52" s="15" t="s">
        <v>117</v>
      </c>
      <c r="N52" s="15" t="s">
        <v>109</v>
      </c>
      <c r="O52" s="15" t="s">
        <v>78</v>
      </c>
      <c r="P52" s="15"/>
      <c r="Q52" s="16" t="s">
        <v>414</v>
      </c>
    </row>
    <row r="53">
      <c r="E53" s="10" t="s">
        <v>126</v>
      </c>
      <c r="F53" s="10">
        <f>countif(F$2:F$51,E53)</f>
        <v>14</v>
      </c>
      <c r="H53" s="17">
        <v>1.0</v>
      </c>
      <c r="J53" s="2">
        <v>1.0</v>
      </c>
      <c r="M53" s="2">
        <v>1.0</v>
      </c>
      <c r="N53" s="2">
        <v>1.0</v>
      </c>
      <c r="O53" s="2">
        <v>1.0</v>
      </c>
      <c r="Q53" s="18">
        <f t="shared" ref="Q53:Q62" si="2">(I53*I$69+J53*J$69+K53*K$69+L53*L$69+M53*M$69+N53*N$69+O53*O$69+P53*P$69)</f>
        <v>0.875</v>
      </c>
    </row>
    <row r="54">
      <c r="E54" s="10" t="s">
        <v>148</v>
      </c>
      <c r="F54" s="10">
        <f t="shared" ref="F54:F61" si="3">countif(F$2:F$45,E54)</f>
        <v>4</v>
      </c>
      <c r="H54" s="17">
        <v>2.0</v>
      </c>
      <c r="J54" s="2">
        <v>1.0</v>
      </c>
      <c r="M54" s="2">
        <v>1.0</v>
      </c>
      <c r="N54" s="2">
        <v>1.0</v>
      </c>
      <c r="O54" s="2">
        <v>1.0</v>
      </c>
      <c r="Q54" s="18">
        <f t="shared" si="2"/>
        <v>0.875</v>
      </c>
    </row>
    <row r="55">
      <c r="E55" s="10" t="s">
        <v>141</v>
      </c>
      <c r="F55" s="10">
        <f t="shared" si="3"/>
        <v>1</v>
      </c>
      <c r="H55" s="17">
        <v>3.0</v>
      </c>
      <c r="J55" s="2">
        <v>1.0</v>
      </c>
      <c r="N55" s="2">
        <v>1.0</v>
      </c>
      <c r="Q55" s="18">
        <f t="shared" si="2"/>
        <v>0.6875</v>
      </c>
    </row>
    <row r="56">
      <c r="E56" s="10" t="s">
        <v>139</v>
      </c>
      <c r="F56" s="10">
        <f t="shared" si="3"/>
        <v>3</v>
      </c>
      <c r="H56" s="17">
        <v>4.0</v>
      </c>
      <c r="I56" s="2">
        <v>2.0</v>
      </c>
      <c r="K56" s="2">
        <v>1.0</v>
      </c>
      <c r="Q56" s="18">
        <f t="shared" si="2"/>
        <v>0.875</v>
      </c>
    </row>
    <row r="57">
      <c r="E57" s="10" t="s">
        <v>117</v>
      </c>
      <c r="F57" s="10">
        <f t="shared" si="3"/>
        <v>2</v>
      </c>
      <c r="H57" s="17">
        <v>5.0</v>
      </c>
      <c r="L57" s="2">
        <v>2.0</v>
      </c>
      <c r="Q57" s="18">
        <f t="shared" si="2"/>
        <v>0.75</v>
      </c>
    </row>
    <row r="58">
      <c r="E58" s="10" t="s">
        <v>109</v>
      </c>
      <c r="F58" s="10">
        <f t="shared" si="3"/>
        <v>3</v>
      </c>
      <c r="H58" s="17">
        <v>6.0</v>
      </c>
      <c r="I58" s="2">
        <v>2.0</v>
      </c>
      <c r="L58" s="2">
        <v>1.0</v>
      </c>
      <c r="Q58" s="18">
        <f t="shared" si="2"/>
        <v>0.875</v>
      </c>
    </row>
    <row r="59">
      <c r="E59" s="10" t="s">
        <v>78</v>
      </c>
      <c r="F59" s="10">
        <f t="shared" si="3"/>
        <v>2</v>
      </c>
      <c r="H59" s="17">
        <v>7.0</v>
      </c>
      <c r="I59" s="2">
        <v>4.0</v>
      </c>
      <c r="Q59" s="18">
        <f t="shared" si="2"/>
        <v>1</v>
      </c>
    </row>
    <row r="60">
      <c r="F60" s="10">
        <f t="shared" si="3"/>
        <v>0</v>
      </c>
      <c r="H60" s="17">
        <v>8.0</v>
      </c>
      <c r="I60" s="2">
        <v>4.0</v>
      </c>
      <c r="Q60" s="18">
        <f t="shared" si="2"/>
        <v>1</v>
      </c>
    </row>
    <row r="61">
      <c r="F61" s="10">
        <f t="shared" si="3"/>
        <v>0</v>
      </c>
      <c r="H61" s="17">
        <v>9.0</v>
      </c>
      <c r="J61" s="2">
        <v>1.0</v>
      </c>
      <c r="Q61" s="18">
        <f t="shared" si="2"/>
        <v>0.5625</v>
      </c>
    </row>
    <row r="62">
      <c r="H62" s="17">
        <v>10.0</v>
      </c>
      <c r="I62" s="2">
        <v>2.0</v>
      </c>
      <c r="Q62" s="18">
        <f t="shared" si="2"/>
        <v>0.5</v>
      </c>
    </row>
    <row r="63">
      <c r="E63" s="2" t="s">
        <v>415</v>
      </c>
      <c r="G63" s="10">
        <f>countif(G2:G51,0)</f>
        <v>12</v>
      </c>
      <c r="H63" s="19"/>
      <c r="I63" s="20"/>
      <c r="J63" s="20"/>
      <c r="K63" s="20"/>
      <c r="L63" s="20"/>
      <c r="M63" s="20"/>
      <c r="N63" s="20"/>
      <c r="O63" s="20"/>
      <c r="P63" s="20"/>
      <c r="Q63" s="21"/>
    </row>
    <row r="64">
      <c r="E64" s="2" t="s">
        <v>416</v>
      </c>
      <c r="G64" s="10">
        <f>countif(D2:D51,"")</f>
        <v>18</v>
      </c>
    </row>
    <row r="65">
      <c r="F65" s="10">
        <f>sum(F53:F64)-countif(F1:F51,"X")</f>
        <v>29</v>
      </c>
      <c r="G65" s="2" t="s">
        <v>417</v>
      </c>
      <c r="H65" s="10">
        <f>SUM(I65:P65)</f>
        <v>29</v>
      </c>
      <c r="I65" s="10">
        <f t="shared" ref="I65:P65" si="4">sum(I53:I64)</f>
        <v>14</v>
      </c>
      <c r="J65" s="10">
        <f t="shared" si="4"/>
        <v>4</v>
      </c>
      <c r="K65" s="10">
        <f t="shared" si="4"/>
        <v>1</v>
      </c>
      <c r="L65" s="10">
        <f t="shared" si="4"/>
        <v>3</v>
      </c>
      <c r="M65" s="10">
        <f t="shared" si="4"/>
        <v>2</v>
      </c>
      <c r="N65" s="10">
        <f t="shared" si="4"/>
        <v>3</v>
      </c>
      <c r="O65" s="10">
        <f t="shared" si="4"/>
        <v>2</v>
      </c>
      <c r="P65" s="10">
        <f t="shared" si="4"/>
        <v>0</v>
      </c>
    </row>
    <row r="68">
      <c r="Q68" s="2" t="s">
        <v>418</v>
      </c>
    </row>
    <row r="69">
      <c r="H69" s="2" t="s">
        <v>414</v>
      </c>
      <c r="I69" s="9">
        <f>ifna(vlookup(I52,Blocks!$A$2:$I$12,9,0),0)</f>
        <v>0.25</v>
      </c>
      <c r="J69" s="9">
        <f>ifna(vlookup(J52,Blocks!$A$2:$I$12,9,0),0)</f>
        <v>0.5625</v>
      </c>
      <c r="K69" s="9">
        <f>ifna(vlookup(K52,Blocks!$A$2:$I$12,9,0),0)</f>
        <v>0.375</v>
      </c>
      <c r="L69" s="9">
        <f>ifna(vlookup(L52,Blocks!$A$2:$I$12,9,0),0)</f>
        <v>0.375</v>
      </c>
      <c r="M69" s="9">
        <f>ifna(vlookup(M52,Blocks!$A$2:$I$12,9,0),0)</f>
        <v>0.125</v>
      </c>
      <c r="N69" s="9">
        <f>ifna(vlookup(N52,Blocks!$A$2:$I$12,9,0),0)</f>
        <v>0.125</v>
      </c>
      <c r="O69" s="9">
        <f>ifna(vlookup(O52,Blocks!$A$2:$I$12,9,0),0)</f>
        <v>0.0625</v>
      </c>
      <c r="P69" s="9">
        <f>ifna(vlookup(P52,Blocks!$A$2:$I$12,9,0),0)</f>
        <v>0</v>
      </c>
      <c r="Q69" s="22">
        <f>countif(Q53:Q63,"&gt;0")-sum(Q53:Q63)</f>
        <v>2</v>
      </c>
    </row>
    <row r="70">
      <c r="Q70" s="23">
        <f>Q69/countif(Q53:Q62,"&gt;0")</f>
        <v>0.2</v>
      </c>
    </row>
  </sheetData>
  <conditionalFormatting sqref="G2:G51">
    <cfRule type="cellIs" dxfId="0" priority="1" operator="equal">
      <formula>0</formula>
    </cfRule>
  </conditionalFormatting>
  <conditionalFormatting sqref="D2:E51">
    <cfRule type="containsBlanks" dxfId="0" priority="2">
      <formula>LEN(TRIM(D2))=0</formula>
    </cfRule>
  </conditionalFormatting>
  <conditionalFormatting sqref="H2:I51">
    <cfRule type="cellIs" dxfId="0" priority="3" operator="equal">
      <formula>"0:"</formula>
    </cfRule>
  </conditionalFormatting>
  <conditionalFormatting sqref="A2:A51">
    <cfRule type="expression" dxfId="1" priority="4">
      <formula>F2&lt;&gt;""</formula>
    </cfRule>
  </conditionalFormatting>
  <conditionalFormatting sqref="H53:H62">
    <cfRule type="expression" dxfId="1" priority="5">
      <formula>Q53&gt;0</formula>
    </cfRule>
  </conditionalFormatting>
  <conditionalFormatting sqref="F1:F1006">
    <cfRule type="cellIs" dxfId="2" priority="6" operator="equal">
      <formula>"ACE"</formula>
    </cfRule>
  </conditionalFormatting>
  <conditionalFormatting sqref="F1:F1006">
    <cfRule type="cellIs" dxfId="3" priority="7" operator="equal">
      <formula>"ACV"</formula>
    </cfRule>
  </conditionalFormatting>
  <conditionalFormatting sqref="F1:F1006">
    <cfRule type="cellIs" dxfId="3" priority="8" operator="equal">
      <formula>"ACH"</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75"/>
    <col customWidth="1" min="2" max="2" width="29.38"/>
    <col customWidth="1" min="3" max="3" width="8.88"/>
    <col customWidth="1" min="4" max="4" width="8.0"/>
    <col customWidth="1" min="5" max="6" width="6.38"/>
    <col customWidth="1" min="7" max="7" width="9.25"/>
    <col customWidth="1" min="8" max="8" width="28.25"/>
    <col customWidth="1" min="9" max="9" width="8.0"/>
  </cols>
  <sheetData>
    <row r="1">
      <c r="A1" s="1" t="s">
        <v>0</v>
      </c>
      <c r="B1" s="1" t="s">
        <v>3</v>
      </c>
      <c r="C1" s="4" t="s">
        <v>4</v>
      </c>
      <c r="D1" s="1" t="s">
        <v>10</v>
      </c>
      <c r="E1" s="1" t="s">
        <v>7</v>
      </c>
      <c r="F1" s="1" t="s">
        <v>9</v>
      </c>
      <c r="G1" s="5" t="s">
        <v>14</v>
      </c>
      <c r="H1" s="1" t="s">
        <v>19</v>
      </c>
      <c r="I1" s="1" t="s">
        <v>22</v>
      </c>
      <c r="J1" s="6"/>
      <c r="K1" s="6"/>
      <c r="L1" s="6"/>
      <c r="M1" s="6"/>
      <c r="N1" s="6"/>
      <c r="O1" s="6"/>
      <c r="P1" s="6"/>
      <c r="Q1" s="6"/>
      <c r="R1" s="6"/>
      <c r="S1" s="6"/>
      <c r="T1" s="6"/>
      <c r="U1" s="6"/>
      <c r="V1" s="6"/>
      <c r="W1" s="6"/>
      <c r="X1" s="6"/>
      <c r="Y1" s="6"/>
      <c r="Z1" s="6"/>
    </row>
    <row r="2">
      <c r="A2" s="2" t="s">
        <v>41</v>
      </c>
      <c r="B2" s="2" t="s">
        <v>44</v>
      </c>
      <c r="C2" s="7" t="s">
        <v>46</v>
      </c>
      <c r="D2" s="2">
        <v>6.0</v>
      </c>
      <c r="E2" s="2">
        <v>550.0</v>
      </c>
      <c r="F2" s="2">
        <v>550.0</v>
      </c>
      <c r="G2" s="8">
        <f t="shared" ref="G2:G11" si="1">E2*F2</f>
        <v>302500</v>
      </c>
      <c r="I2" s="9">
        <f t="shared" ref="I2:I3" si="2">1/16</f>
        <v>0.0625</v>
      </c>
    </row>
    <row r="3">
      <c r="A3" s="2" t="s">
        <v>78</v>
      </c>
      <c r="B3" s="2" t="s">
        <v>80</v>
      </c>
      <c r="C3" s="7" t="s">
        <v>81</v>
      </c>
      <c r="D3" s="2">
        <v>10.0</v>
      </c>
      <c r="E3" s="2">
        <v>550.0</v>
      </c>
      <c r="F3" s="2">
        <v>550.0</v>
      </c>
      <c r="G3" s="8">
        <f t="shared" si="1"/>
        <v>302500</v>
      </c>
      <c r="I3" s="9">
        <f t="shared" si="2"/>
        <v>0.0625</v>
      </c>
    </row>
    <row r="4">
      <c r="A4" s="2" t="s">
        <v>89</v>
      </c>
      <c r="B4" s="2" t="s">
        <v>44</v>
      </c>
      <c r="C4" s="7" t="s">
        <v>46</v>
      </c>
      <c r="D4" s="2">
        <v>6.0</v>
      </c>
      <c r="E4" s="2">
        <v>1110.0</v>
      </c>
      <c r="F4" s="2">
        <v>550.0</v>
      </c>
      <c r="G4" s="8">
        <f t="shared" si="1"/>
        <v>610500</v>
      </c>
      <c r="I4" s="9">
        <f t="shared" ref="I4:I7" si="3">2/16</f>
        <v>0.125</v>
      </c>
    </row>
    <row r="5">
      <c r="A5" s="2" t="s">
        <v>99</v>
      </c>
      <c r="B5" s="2" t="s">
        <v>101</v>
      </c>
      <c r="C5" s="7" t="s">
        <v>102</v>
      </c>
      <c r="D5" s="2">
        <v>6.0</v>
      </c>
      <c r="E5" s="2">
        <v>550.0</v>
      </c>
      <c r="F5" s="2">
        <v>1110.0</v>
      </c>
      <c r="G5" s="8">
        <f t="shared" si="1"/>
        <v>610500</v>
      </c>
      <c r="I5" s="9">
        <f t="shared" si="3"/>
        <v>0.125</v>
      </c>
    </row>
    <row r="6">
      <c r="A6" s="2" t="s">
        <v>109</v>
      </c>
      <c r="B6" s="2" t="s">
        <v>111</v>
      </c>
      <c r="C6" s="7" t="s">
        <v>46</v>
      </c>
      <c r="D6" s="2">
        <v>16.0</v>
      </c>
      <c r="E6" s="2">
        <v>550.0</v>
      </c>
      <c r="F6" s="2">
        <v>1110.0</v>
      </c>
      <c r="G6" s="8">
        <f t="shared" si="1"/>
        <v>610500</v>
      </c>
      <c r="I6" s="9">
        <f t="shared" si="3"/>
        <v>0.125</v>
      </c>
    </row>
    <row r="7">
      <c r="A7" s="2" t="s">
        <v>117</v>
      </c>
      <c r="B7" s="2" t="s">
        <v>119</v>
      </c>
      <c r="C7" s="7" t="s">
        <v>81</v>
      </c>
      <c r="D7" s="2">
        <v>16.0</v>
      </c>
      <c r="E7" s="2">
        <v>1110.0</v>
      </c>
      <c r="F7" s="2">
        <v>550.0</v>
      </c>
      <c r="G7" s="8">
        <f t="shared" si="1"/>
        <v>610500</v>
      </c>
      <c r="I7" s="9">
        <f t="shared" si="3"/>
        <v>0.125</v>
      </c>
    </row>
    <row r="8">
      <c r="A8" s="2" t="s">
        <v>126</v>
      </c>
      <c r="B8" s="2" t="s">
        <v>129</v>
      </c>
      <c r="C8" s="7" t="s">
        <v>46</v>
      </c>
      <c r="D8" s="2">
        <v>22.0</v>
      </c>
      <c r="E8" s="2">
        <v>1110.0</v>
      </c>
      <c r="F8" s="2">
        <v>1110.0</v>
      </c>
      <c r="G8" s="8">
        <f t="shared" si="1"/>
        <v>1232100</v>
      </c>
      <c r="I8" s="9">
        <f>1/4</f>
        <v>0.25</v>
      </c>
    </row>
    <row r="9">
      <c r="A9" s="2" t="s">
        <v>139</v>
      </c>
      <c r="B9" s="2" t="s">
        <v>140</v>
      </c>
      <c r="C9" s="7" t="s">
        <v>46</v>
      </c>
      <c r="D9" s="2">
        <v>27.0</v>
      </c>
      <c r="E9" s="2">
        <v>1675.0</v>
      </c>
      <c r="F9" s="2">
        <v>1110.0</v>
      </c>
      <c r="G9" s="8">
        <f t="shared" si="1"/>
        <v>1859250</v>
      </c>
      <c r="I9" s="9">
        <f t="shared" ref="I9:I10" si="4">6/16</f>
        <v>0.375</v>
      </c>
    </row>
    <row r="10">
      <c r="A10" s="2" t="s">
        <v>141</v>
      </c>
      <c r="B10" s="2" t="s">
        <v>142</v>
      </c>
      <c r="C10" s="7" t="s">
        <v>143</v>
      </c>
      <c r="D10" s="2">
        <v>27.0</v>
      </c>
      <c r="E10" s="2">
        <v>1110.0</v>
      </c>
      <c r="F10" s="2">
        <v>1675.0</v>
      </c>
      <c r="G10" s="8">
        <f t="shared" si="1"/>
        <v>1859250</v>
      </c>
      <c r="I10" s="9">
        <f t="shared" si="4"/>
        <v>0.375</v>
      </c>
    </row>
    <row r="11">
      <c r="A11" s="2" t="s">
        <v>148</v>
      </c>
      <c r="B11" s="2" t="s">
        <v>150</v>
      </c>
      <c r="C11" s="7" t="s">
        <v>143</v>
      </c>
      <c r="D11" s="2">
        <v>32.0</v>
      </c>
      <c r="E11" s="2">
        <v>1675.0</v>
      </c>
      <c r="F11" s="2">
        <v>1675.0</v>
      </c>
      <c r="G11" s="8">
        <f t="shared" si="1"/>
        <v>2805625</v>
      </c>
      <c r="I11" s="9">
        <f>9/16</f>
        <v>0.5625</v>
      </c>
    </row>
    <row r="12">
      <c r="A12" s="2" t="s">
        <v>154</v>
      </c>
      <c r="B12" s="2" t="s">
        <v>155</v>
      </c>
      <c r="C12" s="7" t="s">
        <v>156</v>
      </c>
      <c r="D12" s="2">
        <v>64.0</v>
      </c>
      <c r="E12" s="2">
        <v>2235.0</v>
      </c>
      <c r="F12" s="2">
        <v>2235.0</v>
      </c>
      <c r="G12" s="8">
        <f>G11*2-G2</f>
        <v>5308750</v>
      </c>
      <c r="H12" s="2" t="s">
        <v>157</v>
      </c>
      <c r="I12" s="9">
        <f>14/16</f>
        <v>0.875</v>
      </c>
    </row>
    <row r="13">
      <c r="C13" s="11"/>
      <c r="G13" s="12"/>
    </row>
    <row r="14">
      <c r="A14" s="13" t="s">
        <v>162</v>
      </c>
      <c r="C14" s="11"/>
      <c r="G14" s="12"/>
    </row>
    <row r="15">
      <c r="C15" s="11"/>
      <c r="G15" s="12"/>
    </row>
    <row r="16">
      <c r="C16" s="11"/>
      <c r="G16" s="12"/>
    </row>
    <row r="17">
      <c r="C17" s="11"/>
      <c r="G17" s="12"/>
    </row>
    <row r="18">
      <c r="C18" s="11"/>
      <c r="G18" s="12"/>
    </row>
    <row r="19">
      <c r="C19" s="11"/>
      <c r="G19" s="12"/>
    </row>
    <row r="20">
      <c r="C20" s="11"/>
      <c r="G20" s="12"/>
    </row>
    <row r="21">
      <c r="C21" s="11"/>
      <c r="G21" s="12"/>
    </row>
    <row r="22">
      <c r="C22" s="11"/>
      <c r="G22" s="12"/>
    </row>
    <row r="23">
      <c r="C23" s="11"/>
      <c r="G23" s="12"/>
    </row>
    <row r="24">
      <c r="C24" s="11"/>
      <c r="G24" s="12"/>
    </row>
    <row r="25">
      <c r="C25" s="11"/>
      <c r="G25" s="12"/>
    </row>
    <row r="26">
      <c r="C26" s="11"/>
      <c r="G26" s="12"/>
    </row>
    <row r="27">
      <c r="C27" s="11"/>
      <c r="G27" s="12"/>
    </row>
    <row r="28">
      <c r="C28" s="11"/>
      <c r="G28" s="12"/>
    </row>
    <row r="29">
      <c r="C29" s="11"/>
      <c r="G29" s="12"/>
    </row>
    <row r="30">
      <c r="C30" s="11"/>
      <c r="G30" s="12"/>
    </row>
    <row r="31">
      <c r="C31" s="11"/>
      <c r="G31" s="12"/>
    </row>
    <row r="32">
      <c r="C32" s="11"/>
      <c r="G32" s="12"/>
    </row>
    <row r="33">
      <c r="C33" s="11"/>
      <c r="G33" s="12"/>
    </row>
    <row r="34">
      <c r="C34" s="11"/>
      <c r="G34" s="12"/>
    </row>
    <row r="35">
      <c r="C35" s="11"/>
      <c r="G35" s="12"/>
    </row>
    <row r="36">
      <c r="C36" s="11"/>
      <c r="G36" s="12"/>
    </row>
    <row r="37">
      <c r="C37" s="11"/>
      <c r="G37" s="12"/>
    </row>
    <row r="38">
      <c r="C38" s="11"/>
      <c r="G38" s="12"/>
    </row>
    <row r="39">
      <c r="C39" s="11"/>
      <c r="G39" s="12"/>
    </row>
    <row r="40">
      <c r="C40" s="11"/>
      <c r="G40" s="12"/>
    </row>
    <row r="41">
      <c r="C41" s="11"/>
      <c r="G41" s="12"/>
    </row>
    <row r="42">
      <c r="C42" s="11"/>
      <c r="G42" s="12"/>
    </row>
    <row r="43">
      <c r="C43" s="11"/>
      <c r="G43" s="12"/>
    </row>
    <row r="44">
      <c r="C44" s="11"/>
      <c r="G44" s="12"/>
    </row>
    <row r="45">
      <c r="C45" s="11"/>
      <c r="G45" s="12"/>
    </row>
    <row r="46">
      <c r="C46" s="11"/>
      <c r="G46" s="12"/>
    </row>
    <row r="47">
      <c r="C47" s="11"/>
      <c r="G47" s="12"/>
    </row>
    <row r="48">
      <c r="C48" s="11"/>
      <c r="G48" s="12"/>
    </row>
    <row r="49">
      <c r="C49" s="11"/>
      <c r="G49" s="12"/>
    </row>
    <row r="50">
      <c r="C50" s="11"/>
      <c r="G50" s="12"/>
    </row>
    <row r="51">
      <c r="C51" s="11"/>
      <c r="G51" s="12"/>
    </row>
    <row r="52">
      <c r="C52" s="11"/>
      <c r="G52" s="12"/>
    </row>
    <row r="53">
      <c r="C53" s="11"/>
      <c r="G53" s="12"/>
    </row>
    <row r="54">
      <c r="C54" s="11"/>
      <c r="G54" s="12"/>
    </row>
    <row r="55">
      <c r="C55" s="11"/>
      <c r="G55" s="12"/>
    </row>
    <row r="56">
      <c r="C56" s="11"/>
      <c r="G56" s="12"/>
    </row>
    <row r="57">
      <c r="C57" s="11"/>
      <c r="G57" s="12"/>
    </row>
    <row r="58">
      <c r="C58" s="11"/>
      <c r="G58" s="12"/>
    </row>
    <row r="59">
      <c r="C59" s="11"/>
      <c r="G59" s="12"/>
    </row>
    <row r="60">
      <c r="C60" s="11"/>
      <c r="G60" s="12"/>
    </row>
    <row r="61">
      <c r="C61" s="11"/>
      <c r="G61" s="12"/>
    </row>
    <row r="62">
      <c r="C62" s="11"/>
      <c r="G62" s="12"/>
    </row>
    <row r="63">
      <c r="C63" s="11"/>
      <c r="G63" s="12"/>
    </row>
    <row r="64">
      <c r="C64" s="11"/>
      <c r="G64" s="12"/>
    </row>
    <row r="65">
      <c r="C65" s="11"/>
      <c r="G65" s="12"/>
    </row>
    <row r="66">
      <c r="C66" s="11"/>
      <c r="G66" s="12"/>
    </row>
    <row r="67">
      <c r="C67" s="11"/>
      <c r="G67" s="12"/>
    </row>
    <row r="68">
      <c r="C68" s="11"/>
      <c r="G68" s="12"/>
    </row>
    <row r="69">
      <c r="C69" s="11"/>
      <c r="G69" s="12"/>
    </row>
    <row r="70">
      <c r="C70" s="11"/>
      <c r="G70" s="12"/>
    </row>
    <row r="71">
      <c r="C71" s="11"/>
      <c r="G71" s="12"/>
    </row>
    <row r="72">
      <c r="C72" s="11"/>
      <c r="G72" s="12"/>
    </row>
    <row r="73">
      <c r="C73" s="11"/>
      <c r="G73" s="12"/>
    </row>
    <row r="74">
      <c r="C74" s="11"/>
      <c r="G74" s="12"/>
    </row>
    <row r="75">
      <c r="C75" s="11"/>
      <c r="G75" s="12"/>
    </row>
    <row r="76">
      <c r="C76" s="11"/>
      <c r="G76" s="12"/>
    </row>
    <row r="77">
      <c r="C77" s="11"/>
      <c r="G77" s="12"/>
    </row>
    <row r="78">
      <c r="C78" s="11"/>
      <c r="G78" s="12"/>
    </row>
    <row r="79">
      <c r="C79" s="11"/>
      <c r="G79" s="12"/>
    </row>
    <row r="80">
      <c r="C80" s="11"/>
      <c r="G80" s="12"/>
    </row>
    <row r="81">
      <c r="C81" s="11"/>
      <c r="G81" s="12"/>
    </row>
    <row r="82">
      <c r="C82" s="11"/>
      <c r="G82" s="12"/>
    </row>
    <row r="83">
      <c r="C83" s="11"/>
      <c r="G83" s="12"/>
    </row>
    <row r="84">
      <c r="C84" s="11"/>
      <c r="G84" s="12"/>
    </row>
    <row r="85">
      <c r="C85" s="11"/>
      <c r="G85" s="12"/>
    </row>
    <row r="86">
      <c r="C86" s="11"/>
      <c r="G86" s="12"/>
    </row>
    <row r="87">
      <c r="C87" s="11"/>
      <c r="G87" s="12"/>
    </row>
    <row r="88">
      <c r="C88" s="11"/>
      <c r="G88" s="12"/>
    </row>
    <row r="89">
      <c r="C89" s="11"/>
      <c r="G89" s="12"/>
    </row>
    <row r="90">
      <c r="C90" s="11"/>
      <c r="G90" s="12"/>
    </row>
    <row r="91">
      <c r="C91" s="11"/>
      <c r="G91" s="12"/>
    </row>
    <row r="92">
      <c r="C92" s="11"/>
      <c r="G92" s="12"/>
    </row>
    <row r="93">
      <c r="C93" s="11"/>
      <c r="G93" s="12"/>
    </row>
    <row r="94">
      <c r="C94" s="11"/>
      <c r="G94" s="12"/>
    </row>
    <row r="95">
      <c r="C95" s="11"/>
      <c r="G95" s="12"/>
    </row>
    <row r="96">
      <c r="C96" s="11"/>
      <c r="G96" s="12"/>
    </row>
    <row r="97">
      <c r="C97" s="11"/>
      <c r="G97" s="12"/>
    </row>
    <row r="98">
      <c r="C98" s="11"/>
      <c r="G98" s="12"/>
    </row>
    <row r="99">
      <c r="C99" s="11"/>
      <c r="G99" s="12"/>
    </row>
    <row r="100">
      <c r="C100" s="11"/>
      <c r="G100" s="12"/>
    </row>
    <row r="101">
      <c r="C101" s="11"/>
      <c r="G101" s="12"/>
    </row>
    <row r="102">
      <c r="C102" s="11"/>
      <c r="G102" s="12"/>
    </row>
    <row r="103">
      <c r="C103" s="11"/>
      <c r="G103" s="12"/>
    </row>
    <row r="104">
      <c r="C104" s="11"/>
      <c r="G104" s="12"/>
    </row>
    <row r="105">
      <c r="C105" s="11"/>
      <c r="G105" s="12"/>
    </row>
    <row r="106">
      <c r="C106" s="11"/>
      <c r="G106" s="12"/>
    </row>
    <row r="107">
      <c r="C107" s="11"/>
      <c r="G107" s="12"/>
    </row>
    <row r="108">
      <c r="C108" s="11"/>
      <c r="G108" s="12"/>
    </row>
    <row r="109">
      <c r="C109" s="11"/>
      <c r="G109" s="12"/>
    </row>
    <row r="110">
      <c r="C110" s="11"/>
      <c r="G110" s="12"/>
    </row>
    <row r="111">
      <c r="C111" s="11"/>
      <c r="G111" s="12"/>
    </row>
    <row r="112">
      <c r="C112" s="11"/>
      <c r="G112" s="12"/>
    </row>
    <row r="113">
      <c r="C113" s="11"/>
      <c r="G113" s="12"/>
    </row>
    <row r="114">
      <c r="C114" s="11"/>
      <c r="G114" s="12"/>
    </row>
    <row r="115">
      <c r="C115" s="11"/>
      <c r="G115" s="12"/>
    </row>
    <row r="116">
      <c r="C116" s="11"/>
      <c r="G116" s="12"/>
    </row>
    <row r="117">
      <c r="C117" s="11"/>
      <c r="G117" s="12"/>
    </row>
    <row r="118">
      <c r="C118" s="11"/>
      <c r="G118" s="12"/>
    </row>
    <row r="119">
      <c r="C119" s="11"/>
      <c r="G119" s="12"/>
    </row>
    <row r="120">
      <c r="C120" s="11"/>
      <c r="G120" s="12"/>
    </row>
    <row r="121">
      <c r="C121" s="11"/>
      <c r="G121" s="12"/>
    </row>
    <row r="122">
      <c r="C122" s="11"/>
      <c r="G122" s="12"/>
    </row>
    <row r="123">
      <c r="C123" s="11"/>
      <c r="G123" s="12"/>
    </row>
    <row r="124">
      <c r="C124" s="11"/>
      <c r="G124" s="12"/>
    </row>
    <row r="125">
      <c r="C125" s="11"/>
      <c r="G125" s="12"/>
    </row>
    <row r="126">
      <c r="C126" s="11"/>
      <c r="G126" s="12"/>
    </row>
    <row r="127">
      <c r="C127" s="11"/>
      <c r="G127" s="12"/>
    </row>
    <row r="128">
      <c r="C128" s="11"/>
      <c r="G128" s="12"/>
    </row>
    <row r="129">
      <c r="C129" s="11"/>
      <c r="G129" s="12"/>
    </row>
    <row r="130">
      <c r="C130" s="11"/>
      <c r="G130" s="12"/>
    </row>
    <row r="131">
      <c r="C131" s="11"/>
      <c r="G131" s="12"/>
    </row>
    <row r="132">
      <c r="C132" s="11"/>
      <c r="G132" s="12"/>
    </row>
    <row r="133">
      <c r="C133" s="11"/>
      <c r="G133" s="12"/>
    </row>
    <row r="134">
      <c r="C134" s="11"/>
      <c r="G134" s="12"/>
    </row>
    <row r="135">
      <c r="C135" s="11"/>
      <c r="G135" s="12"/>
    </row>
    <row r="136">
      <c r="C136" s="11"/>
      <c r="G136" s="12"/>
    </row>
    <row r="137">
      <c r="C137" s="11"/>
      <c r="G137" s="12"/>
    </row>
    <row r="138">
      <c r="C138" s="11"/>
      <c r="G138" s="12"/>
    </row>
    <row r="139">
      <c r="C139" s="11"/>
      <c r="G139" s="12"/>
    </row>
    <row r="140">
      <c r="C140" s="11"/>
      <c r="G140" s="12"/>
    </row>
    <row r="141">
      <c r="C141" s="11"/>
      <c r="G141" s="12"/>
    </row>
    <row r="142">
      <c r="C142" s="11"/>
      <c r="G142" s="12"/>
    </row>
    <row r="143">
      <c r="C143" s="11"/>
      <c r="G143" s="12"/>
    </row>
    <row r="144">
      <c r="C144" s="11"/>
      <c r="G144" s="12"/>
    </row>
    <row r="145">
      <c r="C145" s="11"/>
      <c r="G145" s="12"/>
    </row>
    <row r="146">
      <c r="C146" s="11"/>
      <c r="G146" s="12"/>
    </row>
    <row r="147">
      <c r="C147" s="11"/>
      <c r="G147" s="12"/>
    </row>
    <row r="148">
      <c r="C148" s="11"/>
      <c r="G148" s="12"/>
    </row>
    <row r="149">
      <c r="C149" s="11"/>
      <c r="G149" s="12"/>
    </row>
    <row r="150">
      <c r="C150" s="11"/>
      <c r="G150" s="12"/>
    </row>
    <row r="151">
      <c r="C151" s="11"/>
      <c r="G151" s="12"/>
    </row>
    <row r="152">
      <c r="C152" s="11"/>
      <c r="G152" s="12"/>
    </row>
    <row r="153">
      <c r="C153" s="11"/>
      <c r="G153" s="12"/>
    </row>
    <row r="154">
      <c r="C154" s="11"/>
      <c r="G154" s="12"/>
    </row>
    <row r="155">
      <c r="C155" s="11"/>
      <c r="G155" s="12"/>
    </row>
    <row r="156">
      <c r="C156" s="11"/>
      <c r="G156" s="12"/>
    </row>
    <row r="157">
      <c r="C157" s="11"/>
      <c r="G157" s="12"/>
    </row>
    <row r="158">
      <c r="C158" s="11"/>
      <c r="G158" s="12"/>
    </row>
    <row r="159">
      <c r="C159" s="11"/>
      <c r="G159" s="12"/>
    </row>
    <row r="160">
      <c r="C160" s="11"/>
      <c r="G160" s="12"/>
    </row>
    <row r="161">
      <c r="C161" s="11"/>
      <c r="G161" s="12"/>
    </row>
    <row r="162">
      <c r="C162" s="11"/>
      <c r="G162" s="12"/>
    </row>
    <row r="163">
      <c r="C163" s="11"/>
      <c r="G163" s="12"/>
    </row>
    <row r="164">
      <c r="C164" s="11"/>
      <c r="G164" s="12"/>
    </row>
    <row r="165">
      <c r="C165" s="11"/>
      <c r="G165" s="12"/>
    </row>
    <row r="166">
      <c r="C166" s="11"/>
      <c r="G166" s="12"/>
    </row>
    <row r="167">
      <c r="C167" s="11"/>
      <c r="G167" s="12"/>
    </row>
    <row r="168">
      <c r="C168" s="11"/>
      <c r="G168" s="12"/>
    </row>
    <row r="169">
      <c r="C169" s="11"/>
      <c r="G169" s="12"/>
    </row>
    <row r="170">
      <c r="C170" s="11"/>
      <c r="G170" s="12"/>
    </row>
    <row r="171">
      <c r="C171" s="11"/>
      <c r="G171" s="12"/>
    </row>
    <row r="172">
      <c r="C172" s="11"/>
      <c r="G172" s="12"/>
    </row>
    <row r="173">
      <c r="C173" s="11"/>
      <c r="G173" s="12"/>
    </row>
    <row r="174">
      <c r="C174" s="11"/>
      <c r="G174" s="12"/>
    </row>
    <row r="175">
      <c r="C175" s="11"/>
      <c r="G175" s="12"/>
    </row>
    <row r="176">
      <c r="C176" s="11"/>
      <c r="G176" s="12"/>
    </row>
    <row r="177">
      <c r="C177" s="11"/>
      <c r="G177" s="12"/>
    </row>
    <row r="178">
      <c r="C178" s="11"/>
      <c r="G178" s="12"/>
    </row>
    <row r="179">
      <c r="C179" s="11"/>
      <c r="G179" s="12"/>
    </row>
    <row r="180">
      <c r="C180" s="11"/>
      <c r="G180" s="12"/>
    </row>
    <row r="181">
      <c r="C181" s="11"/>
      <c r="G181" s="12"/>
    </row>
    <row r="182">
      <c r="C182" s="11"/>
      <c r="G182" s="12"/>
    </row>
    <row r="183">
      <c r="C183" s="11"/>
      <c r="G183" s="12"/>
    </row>
    <row r="184">
      <c r="C184" s="11"/>
      <c r="G184" s="12"/>
    </row>
    <row r="185">
      <c r="C185" s="11"/>
      <c r="G185" s="12"/>
    </row>
    <row r="186">
      <c r="C186" s="11"/>
      <c r="G186" s="12"/>
    </row>
    <row r="187">
      <c r="C187" s="11"/>
      <c r="G187" s="12"/>
    </row>
    <row r="188">
      <c r="C188" s="11"/>
      <c r="G188" s="12"/>
    </row>
    <row r="189">
      <c r="C189" s="11"/>
      <c r="G189" s="12"/>
    </row>
    <row r="190">
      <c r="C190" s="11"/>
      <c r="G190" s="12"/>
    </row>
    <row r="191">
      <c r="C191" s="11"/>
      <c r="G191" s="12"/>
    </row>
    <row r="192">
      <c r="C192" s="11"/>
      <c r="G192" s="12"/>
    </row>
    <row r="193">
      <c r="C193" s="11"/>
      <c r="G193" s="12"/>
    </row>
    <row r="194">
      <c r="C194" s="11"/>
      <c r="G194" s="12"/>
    </row>
    <row r="195">
      <c r="C195" s="11"/>
      <c r="G195" s="12"/>
    </row>
    <row r="196">
      <c r="C196" s="11"/>
      <c r="G196" s="12"/>
    </row>
    <row r="197">
      <c r="C197" s="11"/>
      <c r="G197" s="12"/>
    </row>
    <row r="198">
      <c r="C198" s="11"/>
      <c r="G198" s="12"/>
    </row>
    <row r="199">
      <c r="C199" s="11"/>
      <c r="G199" s="12"/>
    </row>
    <row r="200">
      <c r="C200" s="11"/>
      <c r="G200" s="12"/>
    </row>
    <row r="201">
      <c r="C201" s="11"/>
      <c r="G201" s="12"/>
    </row>
    <row r="202">
      <c r="C202" s="11"/>
      <c r="G202" s="12"/>
    </row>
    <row r="203">
      <c r="C203" s="11"/>
      <c r="G203" s="12"/>
    </row>
    <row r="204">
      <c r="C204" s="11"/>
      <c r="G204" s="12"/>
    </row>
    <row r="205">
      <c r="C205" s="11"/>
      <c r="G205" s="12"/>
    </row>
    <row r="206">
      <c r="C206" s="11"/>
      <c r="G206" s="12"/>
    </row>
    <row r="207">
      <c r="C207" s="11"/>
      <c r="G207" s="12"/>
    </row>
    <row r="208">
      <c r="C208" s="11"/>
      <c r="G208" s="12"/>
    </row>
    <row r="209">
      <c r="C209" s="11"/>
      <c r="G209" s="12"/>
    </row>
    <row r="210">
      <c r="C210" s="11"/>
      <c r="G210" s="12"/>
    </row>
    <row r="211">
      <c r="C211" s="11"/>
      <c r="G211" s="12"/>
    </row>
    <row r="212">
      <c r="C212" s="11"/>
      <c r="G212" s="12"/>
    </row>
    <row r="213">
      <c r="C213" s="11"/>
      <c r="G213" s="12"/>
    </row>
    <row r="214">
      <c r="C214" s="11"/>
      <c r="G214" s="12"/>
    </row>
    <row r="215">
      <c r="C215" s="11"/>
      <c r="G215" s="12"/>
    </row>
    <row r="216">
      <c r="C216" s="11"/>
      <c r="G216" s="12"/>
    </row>
    <row r="217">
      <c r="C217" s="11"/>
      <c r="G217" s="12"/>
    </row>
    <row r="218">
      <c r="C218" s="11"/>
      <c r="G218" s="12"/>
    </row>
    <row r="219">
      <c r="C219" s="11"/>
      <c r="G219" s="12"/>
    </row>
    <row r="220">
      <c r="C220" s="11"/>
      <c r="G220" s="12"/>
    </row>
    <row r="221">
      <c r="C221" s="11"/>
      <c r="G221" s="12"/>
    </row>
    <row r="222">
      <c r="C222" s="11"/>
      <c r="G222" s="12"/>
    </row>
    <row r="223">
      <c r="C223" s="11"/>
      <c r="G223" s="12"/>
    </row>
    <row r="224">
      <c r="C224" s="11"/>
      <c r="G224" s="12"/>
    </row>
    <row r="225">
      <c r="C225" s="11"/>
      <c r="G225" s="12"/>
    </row>
    <row r="226">
      <c r="C226" s="11"/>
      <c r="G226" s="12"/>
    </row>
    <row r="227">
      <c r="C227" s="11"/>
      <c r="G227" s="12"/>
    </row>
    <row r="228">
      <c r="C228" s="11"/>
      <c r="G228" s="12"/>
    </row>
    <row r="229">
      <c r="C229" s="11"/>
      <c r="G229" s="12"/>
    </row>
    <row r="230">
      <c r="C230" s="11"/>
      <c r="G230" s="12"/>
    </row>
    <row r="231">
      <c r="C231" s="11"/>
      <c r="G231" s="12"/>
    </row>
    <row r="232">
      <c r="C232" s="11"/>
      <c r="G232" s="12"/>
    </row>
    <row r="233">
      <c r="C233" s="11"/>
      <c r="G233" s="12"/>
    </row>
    <row r="234">
      <c r="C234" s="11"/>
      <c r="G234" s="12"/>
    </row>
    <row r="235">
      <c r="C235" s="11"/>
      <c r="G235" s="12"/>
    </row>
    <row r="236">
      <c r="C236" s="11"/>
      <c r="G236" s="12"/>
    </row>
    <row r="237">
      <c r="C237" s="11"/>
      <c r="G237" s="12"/>
    </row>
    <row r="238">
      <c r="C238" s="11"/>
      <c r="G238" s="12"/>
    </row>
    <row r="239">
      <c r="C239" s="11"/>
      <c r="G239" s="12"/>
    </row>
    <row r="240">
      <c r="C240" s="11"/>
      <c r="G240" s="12"/>
    </row>
    <row r="241">
      <c r="C241" s="11"/>
      <c r="G241" s="12"/>
    </row>
    <row r="242">
      <c r="C242" s="11"/>
      <c r="G242" s="12"/>
    </row>
    <row r="243">
      <c r="C243" s="11"/>
      <c r="G243" s="12"/>
    </row>
    <row r="244">
      <c r="C244" s="11"/>
      <c r="G244" s="12"/>
    </row>
    <row r="245">
      <c r="C245" s="11"/>
      <c r="G245" s="12"/>
    </row>
    <row r="246">
      <c r="C246" s="11"/>
      <c r="G246" s="12"/>
    </row>
    <row r="247">
      <c r="C247" s="11"/>
      <c r="G247" s="12"/>
    </row>
    <row r="248">
      <c r="C248" s="11"/>
      <c r="G248" s="12"/>
    </row>
    <row r="249">
      <c r="C249" s="11"/>
      <c r="G249" s="12"/>
    </row>
    <row r="250">
      <c r="C250" s="11"/>
      <c r="G250" s="12"/>
    </row>
    <row r="251">
      <c r="C251" s="11"/>
      <c r="G251" s="12"/>
    </row>
    <row r="252">
      <c r="C252" s="11"/>
      <c r="G252" s="12"/>
    </row>
    <row r="253">
      <c r="C253" s="11"/>
      <c r="G253" s="12"/>
    </row>
    <row r="254">
      <c r="C254" s="11"/>
      <c r="G254" s="12"/>
    </row>
    <row r="255">
      <c r="C255" s="11"/>
      <c r="G255" s="12"/>
    </row>
    <row r="256">
      <c r="C256" s="11"/>
      <c r="G256" s="12"/>
    </row>
    <row r="257">
      <c r="C257" s="11"/>
      <c r="G257" s="12"/>
    </row>
    <row r="258">
      <c r="C258" s="11"/>
      <c r="G258" s="12"/>
    </row>
    <row r="259">
      <c r="C259" s="11"/>
      <c r="G259" s="12"/>
    </row>
    <row r="260">
      <c r="C260" s="11"/>
      <c r="G260" s="12"/>
    </row>
    <row r="261">
      <c r="C261" s="11"/>
      <c r="G261" s="12"/>
    </row>
    <row r="262">
      <c r="C262" s="11"/>
      <c r="G262" s="12"/>
    </row>
    <row r="263">
      <c r="C263" s="11"/>
      <c r="G263" s="12"/>
    </row>
    <row r="264">
      <c r="C264" s="11"/>
      <c r="G264" s="12"/>
    </row>
    <row r="265">
      <c r="C265" s="11"/>
      <c r="G265" s="12"/>
    </row>
    <row r="266">
      <c r="C266" s="11"/>
      <c r="G266" s="12"/>
    </row>
    <row r="267">
      <c r="C267" s="11"/>
      <c r="G267" s="12"/>
    </row>
    <row r="268">
      <c r="C268" s="11"/>
      <c r="G268" s="12"/>
    </row>
    <row r="269">
      <c r="C269" s="11"/>
      <c r="G269" s="12"/>
    </row>
    <row r="270">
      <c r="C270" s="11"/>
      <c r="G270" s="12"/>
    </row>
    <row r="271">
      <c r="C271" s="11"/>
      <c r="G271" s="12"/>
    </row>
    <row r="272">
      <c r="C272" s="11"/>
      <c r="G272" s="12"/>
    </row>
    <row r="273">
      <c r="C273" s="11"/>
      <c r="G273" s="12"/>
    </row>
    <row r="274">
      <c r="C274" s="11"/>
      <c r="G274" s="12"/>
    </row>
    <row r="275">
      <c r="C275" s="11"/>
      <c r="G275" s="12"/>
    </row>
    <row r="276">
      <c r="C276" s="11"/>
      <c r="G276" s="12"/>
    </row>
    <row r="277">
      <c r="C277" s="11"/>
      <c r="G277" s="12"/>
    </row>
    <row r="278">
      <c r="C278" s="11"/>
      <c r="G278" s="12"/>
    </row>
    <row r="279">
      <c r="C279" s="11"/>
      <c r="G279" s="12"/>
    </row>
    <row r="280">
      <c r="C280" s="11"/>
      <c r="G280" s="12"/>
    </row>
    <row r="281">
      <c r="C281" s="11"/>
      <c r="G281" s="12"/>
    </row>
    <row r="282">
      <c r="C282" s="11"/>
      <c r="G282" s="12"/>
    </row>
    <row r="283">
      <c r="C283" s="11"/>
      <c r="G283" s="12"/>
    </row>
    <row r="284">
      <c r="C284" s="11"/>
      <c r="G284" s="12"/>
    </row>
    <row r="285">
      <c r="C285" s="11"/>
      <c r="G285" s="12"/>
    </row>
    <row r="286">
      <c r="C286" s="11"/>
      <c r="G286" s="12"/>
    </row>
    <row r="287">
      <c r="C287" s="11"/>
      <c r="G287" s="12"/>
    </row>
    <row r="288">
      <c r="C288" s="11"/>
      <c r="G288" s="12"/>
    </row>
    <row r="289">
      <c r="C289" s="11"/>
      <c r="G289" s="12"/>
    </row>
    <row r="290">
      <c r="C290" s="11"/>
      <c r="G290" s="12"/>
    </row>
    <row r="291">
      <c r="C291" s="11"/>
      <c r="G291" s="12"/>
    </row>
    <row r="292">
      <c r="C292" s="11"/>
      <c r="G292" s="12"/>
    </row>
    <row r="293">
      <c r="C293" s="11"/>
      <c r="G293" s="12"/>
    </row>
    <row r="294">
      <c r="C294" s="11"/>
      <c r="G294" s="12"/>
    </row>
    <row r="295">
      <c r="C295" s="11"/>
      <c r="G295" s="12"/>
    </row>
    <row r="296">
      <c r="C296" s="11"/>
      <c r="G296" s="12"/>
    </row>
    <row r="297">
      <c r="C297" s="11"/>
      <c r="G297" s="12"/>
    </row>
    <row r="298">
      <c r="C298" s="11"/>
      <c r="G298" s="12"/>
    </row>
    <row r="299">
      <c r="C299" s="11"/>
      <c r="G299" s="12"/>
    </row>
    <row r="300">
      <c r="C300" s="11"/>
      <c r="G300" s="12"/>
    </row>
    <row r="301">
      <c r="C301" s="11"/>
      <c r="G301" s="12"/>
    </row>
    <row r="302">
      <c r="C302" s="11"/>
      <c r="G302" s="12"/>
    </row>
    <row r="303">
      <c r="C303" s="11"/>
      <c r="G303" s="12"/>
    </row>
    <row r="304">
      <c r="C304" s="11"/>
      <c r="G304" s="12"/>
    </row>
    <row r="305">
      <c r="C305" s="11"/>
      <c r="G305" s="12"/>
    </row>
    <row r="306">
      <c r="C306" s="11"/>
      <c r="G306" s="12"/>
    </row>
    <row r="307">
      <c r="C307" s="11"/>
      <c r="G307" s="12"/>
    </row>
    <row r="308">
      <c r="C308" s="11"/>
      <c r="G308" s="12"/>
    </row>
    <row r="309">
      <c r="C309" s="11"/>
      <c r="G309" s="12"/>
    </row>
    <row r="310">
      <c r="C310" s="11"/>
      <c r="G310" s="12"/>
    </row>
    <row r="311">
      <c r="C311" s="11"/>
      <c r="G311" s="12"/>
    </row>
    <row r="312">
      <c r="C312" s="11"/>
      <c r="G312" s="12"/>
    </row>
    <row r="313">
      <c r="C313" s="11"/>
      <c r="G313" s="12"/>
    </row>
    <row r="314">
      <c r="C314" s="11"/>
      <c r="G314" s="12"/>
    </row>
    <row r="315">
      <c r="C315" s="11"/>
      <c r="G315" s="12"/>
    </row>
    <row r="316">
      <c r="C316" s="11"/>
      <c r="G316" s="12"/>
    </row>
    <row r="317">
      <c r="C317" s="11"/>
      <c r="G317" s="12"/>
    </row>
    <row r="318">
      <c r="C318" s="11"/>
      <c r="G318" s="12"/>
    </row>
    <row r="319">
      <c r="C319" s="11"/>
      <c r="G319" s="12"/>
    </row>
    <row r="320">
      <c r="C320" s="11"/>
      <c r="G320" s="12"/>
    </row>
    <row r="321">
      <c r="C321" s="11"/>
      <c r="G321" s="12"/>
    </row>
    <row r="322">
      <c r="C322" s="11"/>
      <c r="G322" s="12"/>
    </row>
    <row r="323">
      <c r="C323" s="11"/>
      <c r="G323" s="12"/>
    </row>
    <row r="324">
      <c r="C324" s="11"/>
      <c r="G324" s="12"/>
    </row>
    <row r="325">
      <c r="C325" s="11"/>
      <c r="G325" s="12"/>
    </row>
    <row r="326">
      <c r="C326" s="11"/>
      <c r="G326" s="12"/>
    </row>
    <row r="327">
      <c r="C327" s="11"/>
      <c r="G327" s="12"/>
    </row>
    <row r="328">
      <c r="C328" s="11"/>
      <c r="G328" s="12"/>
    </row>
    <row r="329">
      <c r="C329" s="11"/>
      <c r="G329" s="12"/>
    </row>
    <row r="330">
      <c r="C330" s="11"/>
      <c r="G330" s="12"/>
    </row>
    <row r="331">
      <c r="C331" s="11"/>
      <c r="G331" s="12"/>
    </row>
    <row r="332">
      <c r="C332" s="11"/>
      <c r="G332" s="12"/>
    </row>
    <row r="333">
      <c r="C333" s="11"/>
      <c r="G333" s="12"/>
    </row>
    <row r="334">
      <c r="C334" s="11"/>
      <c r="G334" s="12"/>
    </row>
    <row r="335">
      <c r="C335" s="11"/>
      <c r="G335" s="12"/>
    </row>
    <row r="336">
      <c r="C336" s="11"/>
      <c r="G336" s="12"/>
    </row>
    <row r="337">
      <c r="C337" s="11"/>
      <c r="G337" s="12"/>
    </row>
    <row r="338">
      <c r="C338" s="11"/>
      <c r="G338" s="12"/>
    </row>
    <row r="339">
      <c r="C339" s="11"/>
      <c r="G339" s="12"/>
    </row>
    <row r="340">
      <c r="C340" s="11"/>
      <c r="G340" s="12"/>
    </row>
    <row r="341">
      <c r="C341" s="11"/>
      <c r="G341" s="12"/>
    </row>
    <row r="342">
      <c r="C342" s="11"/>
      <c r="G342" s="12"/>
    </row>
    <row r="343">
      <c r="C343" s="11"/>
      <c r="G343" s="12"/>
    </row>
    <row r="344">
      <c r="C344" s="11"/>
      <c r="G344" s="12"/>
    </row>
    <row r="345">
      <c r="C345" s="11"/>
      <c r="G345" s="12"/>
    </row>
    <row r="346">
      <c r="C346" s="11"/>
      <c r="G346" s="12"/>
    </row>
    <row r="347">
      <c r="C347" s="11"/>
      <c r="G347" s="12"/>
    </row>
    <row r="348">
      <c r="C348" s="11"/>
      <c r="G348" s="12"/>
    </row>
    <row r="349">
      <c r="C349" s="11"/>
      <c r="G349" s="12"/>
    </row>
    <row r="350">
      <c r="C350" s="11"/>
      <c r="G350" s="12"/>
    </row>
    <row r="351">
      <c r="C351" s="11"/>
      <c r="G351" s="12"/>
    </row>
    <row r="352">
      <c r="C352" s="11"/>
      <c r="G352" s="12"/>
    </row>
    <row r="353">
      <c r="C353" s="11"/>
      <c r="G353" s="12"/>
    </row>
    <row r="354">
      <c r="C354" s="11"/>
      <c r="G354" s="12"/>
    </row>
    <row r="355">
      <c r="C355" s="11"/>
      <c r="G355" s="12"/>
    </row>
    <row r="356">
      <c r="C356" s="11"/>
      <c r="G356" s="12"/>
    </row>
    <row r="357">
      <c r="C357" s="11"/>
      <c r="G357" s="12"/>
    </row>
    <row r="358">
      <c r="C358" s="11"/>
      <c r="G358" s="12"/>
    </row>
    <row r="359">
      <c r="C359" s="11"/>
      <c r="G359" s="12"/>
    </row>
    <row r="360">
      <c r="C360" s="11"/>
      <c r="G360" s="12"/>
    </row>
    <row r="361">
      <c r="C361" s="11"/>
      <c r="G361" s="12"/>
    </row>
    <row r="362">
      <c r="C362" s="11"/>
      <c r="G362" s="12"/>
    </row>
    <row r="363">
      <c r="C363" s="11"/>
      <c r="G363" s="12"/>
    </row>
    <row r="364">
      <c r="C364" s="11"/>
      <c r="G364" s="12"/>
    </row>
    <row r="365">
      <c r="C365" s="11"/>
      <c r="G365" s="12"/>
    </row>
    <row r="366">
      <c r="C366" s="11"/>
      <c r="G366" s="12"/>
    </row>
    <row r="367">
      <c r="C367" s="11"/>
      <c r="G367" s="12"/>
    </row>
    <row r="368">
      <c r="C368" s="11"/>
      <c r="G368" s="12"/>
    </row>
    <row r="369">
      <c r="C369" s="11"/>
      <c r="G369" s="12"/>
    </row>
    <row r="370">
      <c r="C370" s="11"/>
      <c r="G370" s="12"/>
    </row>
    <row r="371">
      <c r="C371" s="11"/>
      <c r="G371" s="12"/>
    </row>
    <row r="372">
      <c r="C372" s="11"/>
      <c r="G372" s="12"/>
    </row>
    <row r="373">
      <c r="C373" s="11"/>
      <c r="G373" s="12"/>
    </row>
    <row r="374">
      <c r="C374" s="11"/>
      <c r="G374" s="12"/>
    </row>
    <row r="375">
      <c r="C375" s="11"/>
      <c r="G375" s="12"/>
    </row>
    <row r="376">
      <c r="C376" s="11"/>
      <c r="G376" s="12"/>
    </row>
    <row r="377">
      <c r="C377" s="11"/>
      <c r="G377" s="12"/>
    </row>
    <row r="378">
      <c r="C378" s="11"/>
      <c r="G378" s="12"/>
    </row>
    <row r="379">
      <c r="C379" s="11"/>
      <c r="G379" s="12"/>
    </row>
    <row r="380">
      <c r="C380" s="11"/>
      <c r="G380" s="12"/>
    </row>
    <row r="381">
      <c r="C381" s="11"/>
      <c r="G381" s="12"/>
    </row>
    <row r="382">
      <c r="C382" s="11"/>
      <c r="G382" s="12"/>
    </row>
    <row r="383">
      <c r="C383" s="11"/>
      <c r="G383" s="12"/>
    </row>
    <row r="384">
      <c r="C384" s="11"/>
      <c r="G384" s="12"/>
    </row>
    <row r="385">
      <c r="C385" s="11"/>
      <c r="G385" s="12"/>
    </row>
    <row r="386">
      <c r="C386" s="11"/>
      <c r="G386" s="12"/>
    </row>
    <row r="387">
      <c r="C387" s="11"/>
      <c r="G387" s="12"/>
    </row>
    <row r="388">
      <c r="C388" s="11"/>
      <c r="G388" s="12"/>
    </row>
    <row r="389">
      <c r="C389" s="11"/>
      <c r="G389" s="12"/>
    </row>
    <row r="390">
      <c r="C390" s="11"/>
      <c r="G390" s="12"/>
    </row>
    <row r="391">
      <c r="C391" s="11"/>
      <c r="G391" s="12"/>
    </row>
    <row r="392">
      <c r="C392" s="11"/>
      <c r="G392" s="12"/>
    </row>
    <row r="393">
      <c r="C393" s="11"/>
      <c r="G393" s="12"/>
    </row>
    <row r="394">
      <c r="C394" s="11"/>
      <c r="G394" s="12"/>
    </row>
    <row r="395">
      <c r="C395" s="11"/>
      <c r="G395" s="12"/>
    </row>
    <row r="396">
      <c r="C396" s="11"/>
      <c r="G396" s="12"/>
    </row>
    <row r="397">
      <c r="C397" s="11"/>
      <c r="G397" s="12"/>
    </row>
    <row r="398">
      <c r="C398" s="11"/>
      <c r="G398" s="12"/>
    </row>
    <row r="399">
      <c r="C399" s="11"/>
      <c r="G399" s="12"/>
    </row>
    <row r="400">
      <c r="C400" s="11"/>
      <c r="G400" s="12"/>
    </row>
    <row r="401">
      <c r="C401" s="11"/>
      <c r="G401" s="12"/>
    </row>
    <row r="402">
      <c r="C402" s="11"/>
      <c r="G402" s="12"/>
    </row>
    <row r="403">
      <c r="C403" s="11"/>
      <c r="G403" s="12"/>
    </row>
    <row r="404">
      <c r="C404" s="11"/>
      <c r="G404" s="12"/>
    </row>
    <row r="405">
      <c r="C405" s="11"/>
      <c r="G405" s="12"/>
    </row>
    <row r="406">
      <c r="C406" s="11"/>
      <c r="G406" s="12"/>
    </row>
    <row r="407">
      <c r="C407" s="11"/>
      <c r="G407" s="12"/>
    </row>
    <row r="408">
      <c r="C408" s="11"/>
      <c r="G408" s="12"/>
    </row>
    <row r="409">
      <c r="C409" s="11"/>
      <c r="G409" s="12"/>
    </row>
    <row r="410">
      <c r="C410" s="11"/>
      <c r="G410" s="12"/>
    </row>
    <row r="411">
      <c r="C411" s="11"/>
      <c r="G411" s="12"/>
    </row>
    <row r="412">
      <c r="C412" s="11"/>
      <c r="G412" s="12"/>
    </row>
    <row r="413">
      <c r="C413" s="11"/>
      <c r="G413" s="12"/>
    </row>
    <row r="414">
      <c r="C414" s="11"/>
      <c r="G414" s="12"/>
    </row>
    <row r="415">
      <c r="C415" s="11"/>
      <c r="G415" s="12"/>
    </row>
    <row r="416">
      <c r="C416" s="11"/>
      <c r="G416" s="12"/>
    </row>
    <row r="417">
      <c r="C417" s="11"/>
      <c r="G417" s="12"/>
    </row>
    <row r="418">
      <c r="C418" s="11"/>
      <c r="G418" s="12"/>
    </row>
    <row r="419">
      <c r="C419" s="11"/>
      <c r="G419" s="12"/>
    </row>
    <row r="420">
      <c r="C420" s="11"/>
      <c r="G420" s="12"/>
    </row>
    <row r="421">
      <c r="C421" s="11"/>
      <c r="G421" s="12"/>
    </row>
    <row r="422">
      <c r="C422" s="11"/>
      <c r="G422" s="12"/>
    </row>
    <row r="423">
      <c r="C423" s="11"/>
      <c r="G423" s="12"/>
    </row>
    <row r="424">
      <c r="C424" s="11"/>
      <c r="G424" s="12"/>
    </row>
    <row r="425">
      <c r="C425" s="11"/>
      <c r="G425" s="12"/>
    </row>
    <row r="426">
      <c r="C426" s="11"/>
      <c r="G426" s="12"/>
    </row>
    <row r="427">
      <c r="C427" s="11"/>
      <c r="G427" s="12"/>
    </row>
    <row r="428">
      <c r="C428" s="11"/>
      <c r="G428" s="12"/>
    </row>
    <row r="429">
      <c r="C429" s="11"/>
      <c r="G429" s="12"/>
    </row>
    <row r="430">
      <c r="C430" s="11"/>
      <c r="G430" s="12"/>
    </row>
    <row r="431">
      <c r="C431" s="11"/>
      <c r="G431" s="12"/>
    </row>
    <row r="432">
      <c r="C432" s="11"/>
      <c r="G432" s="12"/>
    </row>
    <row r="433">
      <c r="C433" s="11"/>
      <c r="G433" s="12"/>
    </row>
    <row r="434">
      <c r="C434" s="11"/>
      <c r="G434" s="12"/>
    </row>
    <row r="435">
      <c r="C435" s="11"/>
      <c r="G435" s="12"/>
    </row>
    <row r="436">
      <c r="C436" s="11"/>
      <c r="G436" s="12"/>
    </row>
    <row r="437">
      <c r="C437" s="11"/>
      <c r="G437" s="12"/>
    </row>
    <row r="438">
      <c r="C438" s="11"/>
      <c r="G438" s="12"/>
    </row>
    <row r="439">
      <c r="C439" s="11"/>
      <c r="G439" s="12"/>
    </row>
    <row r="440">
      <c r="C440" s="11"/>
      <c r="G440" s="12"/>
    </row>
    <row r="441">
      <c r="C441" s="11"/>
      <c r="G441" s="12"/>
    </row>
    <row r="442">
      <c r="C442" s="11"/>
      <c r="G442" s="12"/>
    </row>
    <row r="443">
      <c r="C443" s="11"/>
      <c r="G443" s="12"/>
    </row>
    <row r="444">
      <c r="C444" s="11"/>
      <c r="G444" s="12"/>
    </row>
    <row r="445">
      <c r="C445" s="11"/>
      <c r="G445" s="12"/>
    </row>
    <row r="446">
      <c r="C446" s="11"/>
      <c r="G446" s="12"/>
    </row>
    <row r="447">
      <c r="C447" s="11"/>
      <c r="G447" s="12"/>
    </row>
    <row r="448">
      <c r="C448" s="11"/>
      <c r="G448" s="12"/>
    </row>
    <row r="449">
      <c r="C449" s="11"/>
      <c r="G449" s="12"/>
    </row>
    <row r="450">
      <c r="C450" s="11"/>
      <c r="G450" s="12"/>
    </row>
    <row r="451">
      <c r="C451" s="11"/>
      <c r="G451" s="12"/>
    </row>
    <row r="452">
      <c r="C452" s="11"/>
      <c r="G452" s="12"/>
    </row>
    <row r="453">
      <c r="C453" s="11"/>
      <c r="G453" s="12"/>
    </row>
    <row r="454">
      <c r="C454" s="11"/>
      <c r="G454" s="12"/>
    </row>
    <row r="455">
      <c r="C455" s="11"/>
      <c r="G455" s="12"/>
    </row>
    <row r="456">
      <c r="C456" s="11"/>
      <c r="G456" s="12"/>
    </row>
    <row r="457">
      <c r="C457" s="11"/>
      <c r="G457" s="12"/>
    </row>
    <row r="458">
      <c r="C458" s="11"/>
      <c r="G458" s="12"/>
    </row>
    <row r="459">
      <c r="C459" s="11"/>
      <c r="G459" s="12"/>
    </row>
    <row r="460">
      <c r="C460" s="11"/>
      <c r="G460" s="12"/>
    </row>
    <row r="461">
      <c r="C461" s="11"/>
      <c r="G461" s="12"/>
    </row>
    <row r="462">
      <c r="C462" s="11"/>
      <c r="G462" s="12"/>
    </row>
    <row r="463">
      <c r="C463" s="11"/>
      <c r="G463" s="12"/>
    </row>
    <row r="464">
      <c r="C464" s="11"/>
      <c r="G464" s="12"/>
    </row>
    <row r="465">
      <c r="C465" s="11"/>
      <c r="G465" s="12"/>
    </row>
    <row r="466">
      <c r="C466" s="11"/>
      <c r="G466" s="12"/>
    </row>
    <row r="467">
      <c r="C467" s="11"/>
      <c r="G467" s="12"/>
    </row>
    <row r="468">
      <c r="C468" s="11"/>
      <c r="G468" s="12"/>
    </row>
    <row r="469">
      <c r="C469" s="11"/>
      <c r="G469" s="12"/>
    </row>
    <row r="470">
      <c r="C470" s="11"/>
      <c r="G470" s="12"/>
    </row>
    <row r="471">
      <c r="C471" s="11"/>
      <c r="G471" s="12"/>
    </row>
    <row r="472">
      <c r="C472" s="11"/>
      <c r="G472" s="12"/>
    </row>
    <row r="473">
      <c r="C473" s="11"/>
      <c r="G473" s="12"/>
    </row>
    <row r="474">
      <c r="C474" s="11"/>
      <c r="G474" s="12"/>
    </row>
    <row r="475">
      <c r="C475" s="11"/>
      <c r="G475" s="12"/>
    </row>
    <row r="476">
      <c r="C476" s="11"/>
      <c r="G476" s="12"/>
    </row>
    <row r="477">
      <c r="C477" s="11"/>
      <c r="G477" s="12"/>
    </row>
    <row r="478">
      <c r="C478" s="11"/>
      <c r="G478" s="12"/>
    </row>
    <row r="479">
      <c r="C479" s="11"/>
      <c r="G479" s="12"/>
    </row>
    <row r="480">
      <c r="C480" s="11"/>
      <c r="G480" s="12"/>
    </row>
    <row r="481">
      <c r="C481" s="11"/>
      <c r="G481" s="12"/>
    </row>
    <row r="482">
      <c r="C482" s="11"/>
      <c r="G482" s="12"/>
    </row>
    <row r="483">
      <c r="C483" s="11"/>
      <c r="G483" s="12"/>
    </row>
    <row r="484">
      <c r="C484" s="11"/>
      <c r="G484" s="12"/>
    </row>
    <row r="485">
      <c r="C485" s="11"/>
      <c r="G485" s="12"/>
    </row>
    <row r="486">
      <c r="C486" s="11"/>
      <c r="G486" s="12"/>
    </row>
    <row r="487">
      <c r="C487" s="11"/>
      <c r="G487" s="12"/>
    </row>
    <row r="488">
      <c r="C488" s="11"/>
      <c r="G488" s="12"/>
    </row>
    <row r="489">
      <c r="C489" s="11"/>
      <c r="G489" s="12"/>
    </row>
    <row r="490">
      <c r="C490" s="11"/>
      <c r="G490" s="12"/>
    </row>
    <row r="491">
      <c r="C491" s="11"/>
      <c r="G491" s="12"/>
    </row>
    <row r="492">
      <c r="C492" s="11"/>
      <c r="G492" s="12"/>
    </row>
    <row r="493">
      <c r="C493" s="11"/>
      <c r="G493" s="12"/>
    </row>
    <row r="494">
      <c r="C494" s="11"/>
      <c r="G494" s="12"/>
    </row>
    <row r="495">
      <c r="C495" s="11"/>
      <c r="G495" s="12"/>
    </row>
    <row r="496">
      <c r="C496" s="11"/>
      <c r="G496" s="12"/>
    </row>
    <row r="497">
      <c r="C497" s="11"/>
      <c r="G497" s="12"/>
    </row>
    <row r="498">
      <c r="C498" s="11"/>
      <c r="G498" s="12"/>
    </row>
    <row r="499">
      <c r="C499" s="11"/>
      <c r="G499" s="12"/>
    </row>
    <row r="500">
      <c r="C500" s="11"/>
      <c r="G500" s="12"/>
    </row>
    <row r="501">
      <c r="C501" s="11"/>
      <c r="G501" s="12"/>
    </row>
    <row r="502">
      <c r="C502" s="11"/>
      <c r="G502" s="12"/>
    </row>
    <row r="503">
      <c r="C503" s="11"/>
      <c r="G503" s="12"/>
    </row>
    <row r="504">
      <c r="C504" s="11"/>
      <c r="G504" s="12"/>
    </row>
    <row r="505">
      <c r="C505" s="11"/>
      <c r="G505" s="12"/>
    </row>
    <row r="506">
      <c r="C506" s="11"/>
      <c r="G506" s="12"/>
    </row>
    <row r="507">
      <c r="C507" s="11"/>
      <c r="G507" s="12"/>
    </row>
    <row r="508">
      <c r="C508" s="11"/>
      <c r="G508" s="12"/>
    </row>
    <row r="509">
      <c r="C509" s="11"/>
      <c r="G509" s="12"/>
    </row>
    <row r="510">
      <c r="C510" s="11"/>
      <c r="G510" s="12"/>
    </row>
    <row r="511">
      <c r="C511" s="11"/>
      <c r="G511" s="12"/>
    </row>
    <row r="512">
      <c r="C512" s="11"/>
      <c r="G512" s="12"/>
    </row>
    <row r="513">
      <c r="C513" s="11"/>
      <c r="G513" s="12"/>
    </row>
    <row r="514">
      <c r="C514" s="11"/>
      <c r="G514" s="12"/>
    </row>
    <row r="515">
      <c r="C515" s="11"/>
      <c r="G515" s="12"/>
    </row>
    <row r="516">
      <c r="C516" s="11"/>
      <c r="G516" s="12"/>
    </row>
    <row r="517">
      <c r="C517" s="11"/>
      <c r="G517" s="12"/>
    </row>
    <row r="518">
      <c r="C518" s="11"/>
      <c r="G518" s="12"/>
    </row>
    <row r="519">
      <c r="C519" s="11"/>
      <c r="G519" s="12"/>
    </row>
    <row r="520">
      <c r="C520" s="11"/>
      <c r="G520" s="12"/>
    </row>
    <row r="521">
      <c r="C521" s="11"/>
      <c r="G521" s="12"/>
    </row>
    <row r="522">
      <c r="C522" s="11"/>
      <c r="G522" s="12"/>
    </row>
    <row r="523">
      <c r="C523" s="11"/>
      <c r="G523" s="12"/>
    </row>
    <row r="524">
      <c r="C524" s="11"/>
      <c r="G524" s="12"/>
    </row>
    <row r="525">
      <c r="C525" s="11"/>
      <c r="G525" s="12"/>
    </row>
    <row r="526">
      <c r="C526" s="11"/>
      <c r="G526" s="12"/>
    </row>
    <row r="527">
      <c r="C527" s="11"/>
      <c r="G527" s="12"/>
    </row>
    <row r="528">
      <c r="C528" s="11"/>
      <c r="G528" s="12"/>
    </row>
    <row r="529">
      <c r="C529" s="11"/>
      <c r="G529" s="12"/>
    </row>
    <row r="530">
      <c r="C530" s="11"/>
      <c r="G530" s="12"/>
    </row>
    <row r="531">
      <c r="C531" s="11"/>
      <c r="G531" s="12"/>
    </row>
    <row r="532">
      <c r="C532" s="11"/>
      <c r="G532" s="12"/>
    </row>
    <row r="533">
      <c r="C533" s="11"/>
      <c r="G533" s="12"/>
    </row>
    <row r="534">
      <c r="C534" s="11"/>
      <c r="G534" s="12"/>
    </row>
    <row r="535">
      <c r="C535" s="11"/>
      <c r="G535" s="12"/>
    </row>
    <row r="536">
      <c r="C536" s="11"/>
      <c r="G536" s="12"/>
    </row>
    <row r="537">
      <c r="C537" s="11"/>
      <c r="G537" s="12"/>
    </row>
    <row r="538">
      <c r="C538" s="11"/>
      <c r="G538" s="12"/>
    </row>
    <row r="539">
      <c r="C539" s="11"/>
      <c r="G539" s="12"/>
    </row>
    <row r="540">
      <c r="C540" s="11"/>
      <c r="G540" s="12"/>
    </row>
    <row r="541">
      <c r="C541" s="11"/>
      <c r="G541" s="12"/>
    </row>
    <row r="542">
      <c r="C542" s="11"/>
      <c r="G542" s="12"/>
    </row>
    <row r="543">
      <c r="C543" s="11"/>
      <c r="G543" s="12"/>
    </row>
    <row r="544">
      <c r="C544" s="11"/>
      <c r="G544" s="12"/>
    </row>
    <row r="545">
      <c r="C545" s="11"/>
      <c r="G545" s="12"/>
    </row>
    <row r="546">
      <c r="C546" s="11"/>
      <c r="G546" s="12"/>
    </row>
    <row r="547">
      <c r="C547" s="11"/>
      <c r="G547" s="12"/>
    </row>
    <row r="548">
      <c r="C548" s="11"/>
      <c r="G548" s="12"/>
    </row>
    <row r="549">
      <c r="C549" s="11"/>
      <c r="G549" s="12"/>
    </row>
    <row r="550">
      <c r="C550" s="11"/>
      <c r="G550" s="12"/>
    </row>
    <row r="551">
      <c r="C551" s="11"/>
      <c r="G551" s="12"/>
    </row>
    <row r="552">
      <c r="C552" s="11"/>
      <c r="G552" s="12"/>
    </row>
    <row r="553">
      <c r="C553" s="11"/>
      <c r="G553" s="12"/>
    </row>
    <row r="554">
      <c r="C554" s="11"/>
      <c r="G554" s="12"/>
    </row>
    <row r="555">
      <c r="C555" s="11"/>
      <c r="G555" s="12"/>
    </row>
    <row r="556">
      <c r="C556" s="11"/>
      <c r="G556" s="12"/>
    </row>
    <row r="557">
      <c r="C557" s="11"/>
      <c r="G557" s="12"/>
    </row>
    <row r="558">
      <c r="C558" s="11"/>
      <c r="G558" s="12"/>
    </row>
    <row r="559">
      <c r="C559" s="11"/>
      <c r="G559" s="12"/>
    </row>
    <row r="560">
      <c r="C560" s="11"/>
      <c r="G560" s="12"/>
    </row>
    <row r="561">
      <c r="C561" s="11"/>
      <c r="G561" s="12"/>
    </row>
    <row r="562">
      <c r="C562" s="11"/>
      <c r="G562" s="12"/>
    </row>
    <row r="563">
      <c r="C563" s="11"/>
      <c r="G563" s="12"/>
    </row>
    <row r="564">
      <c r="C564" s="11"/>
      <c r="G564" s="12"/>
    </row>
    <row r="565">
      <c r="C565" s="11"/>
      <c r="G565" s="12"/>
    </row>
    <row r="566">
      <c r="C566" s="11"/>
      <c r="G566" s="12"/>
    </row>
    <row r="567">
      <c r="C567" s="11"/>
      <c r="G567" s="12"/>
    </row>
    <row r="568">
      <c r="C568" s="11"/>
      <c r="G568" s="12"/>
    </row>
    <row r="569">
      <c r="C569" s="11"/>
      <c r="G569" s="12"/>
    </row>
    <row r="570">
      <c r="C570" s="11"/>
      <c r="G570" s="12"/>
    </row>
    <row r="571">
      <c r="C571" s="11"/>
      <c r="G571" s="12"/>
    </row>
    <row r="572">
      <c r="C572" s="11"/>
      <c r="G572" s="12"/>
    </row>
    <row r="573">
      <c r="C573" s="11"/>
      <c r="G573" s="12"/>
    </row>
    <row r="574">
      <c r="C574" s="11"/>
      <c r="G574" s="12"/>
    </row>
    <row r="575">
      <c r="C575" s="11"/>
      <c r="G575" s="12"/>
    </row>
    <row r="576">
      <c r="C576" s="11"/>
      <c r="G576" s="12"/>
    </row>
    <row r="577">
      <c r="C577" s="11"/>
      <c r="G577" s="12"/>
    </row>
    <row r="578">
      <c r="C578" s="11"/>
      <c r="G578" s="12"/>
    </row>
    <row r="579">
      <c r="C579" s="11"/>
      <c r="G579" s="12"/>
    </row>
    <row r="580">
      <c r="C580" s="11"/>
      <c r="G580" s="12"/>
    </row>
    <row r="581">
      <c r="C581" s="11"/>
      <c r="G581" s="12"/>
    </row>
    <row r="582">
      <c r="C582" s="11"/>
      <c r="G582" s="12"/>
    </row>
    <row r="583">
      <c r="C583" s="11"/>
      <c r="G583" s="12"/>
    </row>
    <row r="584">
      <c r="C584" s="11"/>
      <c r="G584" s="12"/>
    </row>
    <row r="585">
      <c r="C585" s="11"/>
      <c r="G585" s="12"/>
    </row>
    <row r="586">
      <c r="C586" s="11"/>
      <c r="G586" s="12"/>
    </row>
    <row r="587">
      <c r="C587" s="11"/>
      <c r="G587" s="12"/>
    </row>
    <row r="588">
      <c r="C588" s="11"/>
      <c r="G588" s="12"/>
    </row>
    <row r="589">
      <c r="C589" s="11"/>
      <c r="G589" s="12"/>
    </row>
    <row r="590">
      <c r="C590" s="11"/>
      <c r="G590" s="12"/>
    </row>
    <row r="591">
      <c r="C591" s="11"/>
      <c r="G591" s="12"/>
    </row>
    <row r="592">
      <c r="C592" s="11"/>
      <c r="G592" s="12"/>
    </row>
    <row r="593">
      <c r="C593" s="11"/>
      <c r="G593" s="12"/>
    </row>
    <row r="594">
      <c r="C594" s="11"/>
      <c r="G594" s="12"/>
    </row>
    <row r="595">
      <c r="C595" s="11"/>
      <c r="G595" s="12"/>
    </row>
    <row r="596">
      <c r="C596" s="11"/>
      <c r="G596" s="12"/>
    </row>
    <row r="597">
      <c r="C597" s="11"/>
      <c r="G597" s="12"/>
    </row>
    <row r="598">
      <c r="C598" s="11"/>
      <c r="G598" s="12"/>
    </row>
    <row r="599">
      <c r="C599" s="11"/>
      <c r="G599" s="12"/>
    </row>
    <row r="600">
      <c r="C600" s="11"/>
      <c r="G600" s="12"/>
    </row>
    <row r="601">
      <c r="C601" s="11"/>
      <c r="G601" s="12"/>
    </row>
    <row r="602">
      <c r="C602" s="11"/>
      <c r="G602" s="12"/>
    </row>
    <row r="603">
      <c r="C603" s="11"/>
      <c r="G603" s="12"/>
    </row>
    <row r="604">
      <c r="C604" s="11"/>
      <c r="G604" s="12"/>
    </row>
    <row r="605">
      <c r="C605" s="11"/>
      <c r="G605" s="12"/>
    </row>
    <row r="606">
      <c r="C606" s="11"/>
      <c r="G606" s="12"/>
    </row>
    <row r="607">
      <c r="C607" s="11"/>
      <c r="G607" s="12"/>
    </row>
    <row r="608">
      <c r="C608" s="11"/>
      <c r="G608" s="12"/>
    </row>
    <row r="609">
      <c r="C609" s="11"/>
      <c r="G609" s="12"/>
    </row>
    <row r="610">
      <c r="C610" s="11"/>
      <c r="G610" s="12"/>
    </row>
    <row r="611">
      <c r="C611" s="11"/>
      <c r="G611" s="12"/>
    </row>
    <row r="612">
      <c r="C612" s="11"/>
      <c r="G612" s="12"/>
    </row>
    <row r="613">
      <c r="C613" s="11"/>
      <c r="G613" s="12"/>
    </row>
    <row r="614">
      <c r="C614" s="11"/>
      <c r="G614" s="12"/>
    </row>
    <row r="615">
      <c r="C615" s="11"/>
      <c r="G615" s="12"/>
    </row>
    <row r="616">
      <c r="C616" s="11"/>
      <c r="G616" s="12"/>
    </row>
    <row r="617">
      <c r="C617" s="11"/>
      <c r="G617" s="12"/>
    </row>
    <row r="618">
      <c r="C618" s="11"/>
      <c r="G618" s="12"/>
    </row>
    <row r="619">
      <c r="C619" s="11"/>
      <c r="G619" s="12"/>
    </row>
    <row r="620">
      <c r="C620" s="11"/>
      <c r="G620" s="12"/>
    </row>
    <row r="621">
      <c r="C621" s="11"/>
      <c r="G621" s="12"/>
    </row>
    <row r="622">
      <c r="C622" s="11"/>
      <c r="G622" s="12"/>
    </row>
    <row r="623">
      <c r="C623" s="11"/>
      <c r="G623" s="12"/>
    </row>
    <row r="624">
      <c r="C624" s="11"/>
      <c r="G624" s="12"/>
    </row>
    <row r="625">
      <c r="C625" s="11"/>
      <c r="G625" s="12"/>
    </row>
    <row r="626">
      <c r="C626" s="11"/>
      <c r="G626" s="12"/>
    </row>
    <row r="627">
      <c r="C627" s="11"/>
      <c r="G627" s="12"/>
    </row>
    <row r="628">
      <c r="C628" s="11"/>
      <c r="G628" s="12"/>
    </row>
    <row r="629">
      <c r="C629" s="11"/>
      <c r="G629" s="12"/>
    </row>
    <row r="630">
      <c r="C630" s="11"/>
      <c r="G630" s="12"/>
    </row>
    <row r="631">
      <c r="C631" s="11"/>
      <c r="G631" s="12"/>
    </row>
    <row r="632">
      <c r="C632" s="11"/>
      <c r="G632" s="12"/>
    </row>
    <row r="633">
      <c r="C633" s="11"/>
      <c r="G633" s="12"/>
    </row>
    <row r="634">
      <c r="C634" s="11"/>
      <c r="G634" s="12"/>
    </row>
    <row r="635">
      <c r="C635" s="11"/>
      <c r="G635" s="12"/>
    </row>
    <row r="636">
      <c r="C636" s="11"/>
      <c r="G636" s="12"/>
    </row>
    <row r="637">
      <c r="C637" s="11"/>
      <c r="G637" s="12"/>
    </row>
    <row r="638">
      <c r="C638" s="11"/>
      <c r="G638" s="12"/>
    </row>
    <row r="639">
      <c r="C639" s="11"/>
      <c r="G639" s="12"/>
    </row>
    <row r="640">
      <c r="C640" s="11"/>
      <c r="G640" s="12"/>
    </row>
    <row r="641">
      <c r="C641" s="11"/>
      <c r="G641" s="12"/>
    </row>
    <row r="642">
      <c r="C642" s="11"/>
      <c r="G642" s="12"/>
    </row>
    <row r="643">
      <c r="C643" s="11"/>
      <c r="G643" s="12"/>
    </row>
    <row r="644">
      <c r="C644" s="11"/>
      <c r="G644" s="12"/>
    </row>
    <row r="645">
      <c r="C645" s="11"/>
      <c r="G645" s="12"/>
    </row>
    <row r="646">
      <c r="C646" s="11"/>
      <c r="G646" s="12"/>
    </row>
    <row r="647">
      <c r="C647" s="11"/>
      <c r="G647" s="12"/>
    </row>
    <row r="648">
      <c r="C648" s="11"/>
      <c r="G648" s="12"/>
    </row>
    <row r="649">
      <c r="C649" s="11"/>
      <c r="G649" s="12"/>
    </row>
    <row r="650">
      <c r="C650" s="11"/>
      <c r="G650" s="12"/>
    </row>
    <row r="651">
      <c r="C651" s="11"/>
      <c r="G651" s="12"/>
    </row>
    <row r="652">
      <c r="C652" s="11"/>
      <c r="G652" s="12"/>
    </row>
    <row r="653">
      <c r="C653" s="11"/>
      <c r="G653" s="12"/>
    </row>
    <row r="654">
      <c r="C654" s="11"/>
      <c r="G654" s="12"/>
    </row>
    <row r="655">
      <c r="C655" s="11"/>
      <c r="G655" s="12"/>
    </row>
    <row r="656">
      <c r="C656" s="11"/>
      <c r="G656" s="12"/>
    </row>
    <row r="657">
      <c r="C657" s="11"/>
      <c r="G657" s="12"/>
    </row>
    <row r="658">
      <c r="C658" s="11"/>
      <c r="G658" s="12"/>
    </row>
    <row r="659">
      <c r="C659" s="11"/>
      <c r="G659" s="12"/>
    </row>
    <row r="660">
      <c r="C660" s="11"/>
      <c r="G660" s="12"/>
    </row>
    <row r="661">
      <c r="C661" s="11"/>
      <c r="G661" s="12"/>
    </row>
    <row r="662">
      <c r="C662" s="11"/>
      <c r="G662" s="12"/>
    </row>
    <row r="663">
      <c r="C663" s="11"/>
      <c r="G663" s="12"/>
    </row>
    <row r="664">
      <c r="C664" s="11"/>
      <c r="G664" s="12"/>
    </row>
    <row r="665">
      <c r="C665" s="11"/>
      <c r="G665" s="12"/>
    </row>
    <row r="666">
      <c r="C666" s="11"/>
      <c r="G666" s="12"/>
    </row>
    <row r="667">
      <c r="C667" s="11"/>
      <c r="G667" s="12"/>
    </row>
    <row r="668">
      <c r="C668" s="11"/>
      <c r="G668" s="12"/>
    </row>
    <row r="669">
      <c r="C669" s="11"/>
      <c r="G669" s="12"/>
    </row>
    <row r="670">
      <c r="C670" s="11"/>
      <c r="G670" s="12"/>
    </row>
    <row r="671">
      <c r="C671" s="11"/>
      <c r="G671" s="12"/>
    </row>
    <row r="672">
      <c r="C672" s="11"/>
      <c r="G672" s="12"/>
    </row>
    <row r="673">
      <c r="C673" s="11"/>
      <c r="G673" s="12"/>
    </row>
    <row r="674">
      <c r="C674" s="11"/>
      <c r="G674" s="12"/>
    </row>
    <row r="675">
      <c r="C675" s="11"/>
      <c r="G675" s="12"/>
    </row>
    <row r="676">
      <c r="C676" s="11"/>
      <c r="G676" s="12"/>
    </row>
    <row r="677">
      <c r="C677" s="11"/>
      <c r="G677" s="12"/>
    </row>
    <row r="678">
      <c r="C678" s="11"/>
      <c r="G678" s="12"/>
    </row>
    <row r="679">
      <c r="C679" s="11"/>
      <c r="G679" s="12"/>
    </row>
    <row r="680">
      <c r="C680" s="11"/>
      <c r="G680" s="12"/>
    </row>
    <row r="681">
      <c r="C681" s="11"/>
      <c r="G681" s="12"/>
    </row>
    <row r="682">
      <c r="C682" s="11"/>
      <c r="G682" s="12"/>
    </row>
    <row r="683">
      <c r="C683" s="11"/>
      <c r="G683" s="12"/>
    </row>
    <row r="684">
      <c r="C684" s="11"/>
      <c r="G684" s="12"/>
    </row>
    <row r="685">
      <c r="C685" s="11"/>
      <c r="G685" s="12"/>
    </row>
    <row r="686">
      <c r="C686" s="11"/>
      <c r="G686" s="12"/>
    </row>
    <row r="687">
      <c r="C687" s="11"/>
      <c r="G687" s="12"/>
    </row>
    <row r="688">
      <c r="C688" s="11"/>
      <c r="G688" s="12"/>
    </row>
    <row r="689">
      <c r="C689" s="11"/>
      <c r="G689" s="12"/>
    </row>
    <row r="690">
      <c r="C690" s="11"/>
      <c r="G690" s="12"/>
    </row>
    <row r="691">
      <c r="C691" s="11"/>
      <c r="G691" s="12"/>
    </row>
    <row r="692">
      <c r="C692" s="11"/>
      <c r="G692" s="12"/>
    </row>
    <row r="693">
      <c r="C693" s="11"/>
      <c r="G693" s="12"/>
    </row>
    <row r="694">
      <c r="C694" s="11"/>
      <c r="G694" s="12"/>
    </row>
    <row r="695">
      <c r="C695" s="11"/>
      <c r="G695" s="12"/>
    </row>
    <row r="696">
      <c r="C696" s="11"/>
      <c r="G696" s="12"/>
    </row>
    <row r="697">
      <c r="C697" s="11"/>
      <c r="G697" s="12"/>
    </row>
    <row r="698">
      <c r="C698" s="11"/>
      <c r="G698" s="12"/>
    </row>
    <row r="699">
      <c r="C699" s="11"/>
      <c r="G699" s="12"/>
    </row>
    <row r="700">
      <c r="C700" s="11"/>
      <c r="G700" s="12"/>
    </row>
    <row r="701">
      <c r="C701" s="11"/>
      <c r="G701" s="12"/>
    </row>
    <row r="702">
      <c r="C702" s="11"/>
      <c r="G702" s="12"/>
    </row>
    <row r="703">
      <c r="C703" s="11"/>
      <c r="G703" s="12"/>
    </row>
    <row r="704">
      <c r="C704" s="11"/>
      <c r="G704" s="12"/>
    </row>
    <row r="705">
      <c r="C705" s="11"/>
      <c r="G705" s="12"/>
    </row>
    <row r="706">
      <c r="C706" s="11"/>
      <c r="G706" s="12"/>
    </row>
    <row r="707">
      <c r="C707" s="11"/>
      <c r="G707" s="12"/>
    </row>
    <row r="708">
      <c r="C708" s="11"/>
      <c r="G708" s="12"/>
    </row>
    <row r="709">
      <c r="C709" s="11"/>
      <c r="G709" s="12"/>
    </row>
    <row r="710">
      <c r="C710" s="11"/>
      <c r="G710" s="12"/>
    </row>
    <row r="711">
      <c r="C711" s="11"/>
      <c r="G711" s="12"/>
    </row>
    <row r="712">
      <c r="C712" s="11"/>
      <c r="G712" s="12"/>
    </row>
    <row r="713">
      <c r="C713" s="11"/>
      <c r="G713" s="12"/>
    </row>
    <row r="714">
      <c r="C714" s="11"/>
      <c r="G714" s="12"/>
    </row>
    <row r="715">
      <c r="C715" s="11"/>
      <c r="G715" s="12"/>
    </row>
    <row r="716">
      <c r="C716" s="11"/>
      <c r="G716" s="12"/>
    </row>
    <row r="717">
      <c r="C717" s="11"/>
      <c r="G717" s="12"/>
    </row>
    <row r="718">
      <c r="C718" s="11"/>
      <c r="G718" s="12"/>
    </row>
    <row r="719">
      <c r="C719" s="11"/>
      <c r="G719" s="12"/>
    </row>
    <row r="720">
      <c r="C720" s="11"/>
      <c r="G720" s="12"/>
    </row>
    <row r="721">
      <c r="C721" s="11"/>
      <c r="G721" s="12"/>
    </row>
    <row r="722">
      <c r="C722" s="11"/>
      <c r="G722" s="12"/>
    </row>
    <row r="723">
      <c r="C723" s="11"/>
      <c r="G723" s="12"/>
    </row>
    <row r="724">
      <c r="C724" s="11"/>
      <c r="G724" s="12"/>
    </row>
    <row r="725">
      <c r="C725" s="11"/>
      <c r="G725" s="12"/>
    </row>
    <row r="726">
      <c r="C726" s="11"/>
      <c r="G726" s="12"/>
    </row>
    <row r="727">
      <c r="C727" s="11"/>
      <c r="G727" s="12"/>
    </row>
    <row r="728">
      <c r="C728" s="11"/>
      <c r="G728" s="12"/>
    </row>
    <row r="729">
      <c r="C729" s="11"/>
      <c r="G729" s="12"/>
    </row>
    <row r="730">
      <c r="C730" s="11"/>
      <c r="G730" s="12"/>
    </row>
    <row r="731">
      <c r="C731" s="11"/>
      <c r="G731" s="12"/>
    </row>
    <row r="732">
      <c r="C732" s="11"/>
      <c r="G732" s="12"/>
    </row>
    <row r="733">
      <c r="C733" s="11"/>
      <c r="G733" s="12"/>
    </row>
    <row r="734">
      <c r="C734" s="11"/>
      <c r="G734" s="12"/>
    </row>
    <row r="735">
      <c r="C735" s="11"/>
      <c r="G735" s="12"/>
    </row>
    <row r="736">
      <c r="C736" s="11"/>
      <c r="G736" s="12"/>
    </row>
    <row r="737">
      <c r="C737" s="11"/>
      <c r="G737" s="12"/>
    </row>
    <row r="738">
      <c r="C738" s="11"/>
      <c r="G738" s="12"/>
    </row>
    <row r="739">
      <c r="C739" s="11"/>
      <c r="G739" s="12"/>
    </row>
    <row r="740">
      <c r="C740" s="11"/>
      <c r="G740" s="12"/>
    </row>
    <row r="741">
      <c r="C741" s="11"/>
      <c r="G741" s="12"/>
    </row>
    <row r="742">
      <c r="C742" s="11"/>
      <c r="G742" s="12"/>
    </row>
    <row r="743">
      <c r="C743" s="11"/>
      <c r="G743" s="12"/>
    </row>
    <row r="744">
      <c r="C744" s="11"/>
      <c r="G744" s="12"/>
    </row>
    <row r="745">
      <c r="C745" s="11"/>
      <c r="G745" s="12"/>
    </row>
    <row r="746">
      <c r="C746" s="11"/>
      <c r="G746" s="12"/>
    </row>
    <row r="747">
      <c r="C747" s="11"/>
      <c r="G747" s="12"/>
    </row>
    <row r="748">
      <c r="C748" s="11"/>
      <c r="G748" s="12"/>
    </row>
    <row r="749">
      <c r="C749" s="11"/>
      <c r="G749" s="12"/>
    </row>
    <row r="750">
      <c r="C750" s="11"/>
      <c r="G750" s="12"/>
    </row>
    <row r="751">
      <c r="C751" s="11"/>
      <c r="G751" s="12"/>
    </row>
    <row r="752">
      <c r="C752" s="11"/>
      <c r="G752" s="12"/>
    </row>
    <row r="753">
      <c r="C753" s="11"/>
      <c r="G753" s="12"/>
    </row>
    <row r="754">
      <c r="C754" s="11"/>
      <c r="G754" s="12"/>
    </row>
    <row r="755">
      <c r="C755" s="11"/>
      <c r="G755" s="12"/>
    </row>
    <row r="756">
      <c r="C756" s="11"/>
      <c r="G756" s="12"/>
    </row>
    <row r="757">
      <c r="C757" s="11"/>
      <c r="G757" s="12"/>
    </row>
    <row r="758">
      <c r="C758" s="11"/>
      <c r="G758" s="12"/>
    </row>
    <row r="759">
      <c r="C759" s="11"/>
      <c r="G759" s="12"/>
    </row>
    <row r="760">
      <c r="C760" s="11"/>
      <c r="G760" s="12"/>
    </row>
    <row r="761">
      <c r="C761" s="11"/>
      <c r="G761" s="12"/>
    </row>
    <row r="762">
      <c r="C762" s="11"/>
      <c r="G762" s="12"/>
    </row>
    <row r="763">
      <c r="C763" s="11"/>
      <c r="G763" s="12"/>
    </row>
    <row r="764">
      <c r="C764" s="11"/>
      <c r="G764" s="12"/>
    </row>
    <row r="765">
      <c r="C765" s="11"/>
      <c r="G765" s="12"/>
    </row>
    <row r="766">
      <c r="C766" s="11"/>
      <c r="G766" s="12"/>
    </row>
    <row r="767">
      <c r="C767" s="11"/>
      <c r="G767" s="12"/>
    </row>
    <row r="768">
      <c r="C768" s="11"/>
      <c r="G768" s="12"/>
    </row>
    <row r="769">
      <c r="C769" s="11"/>
      <c r="G769" s="12"/>
    </row>
    <row r="770">
      <c r="C770" s="11"/>
      <c r="G770" s="12"/>
    </row>
    <row r="771">
      <c r="C771" s="11"/>
      <c r="G771" s="12"/>
    </row>
    <row r="772">
      <c r="C772" s="11"/>
      <c r="G772" s="12"/>
    </row>
    <row r="773">
      <c r="C773" s="11"/>
      <c r="G773" s="12"/>
    </row>
    <row r="774">
      <c r="C774" s="11"/>
      <c r="G774" s="12"/>
    </row>
    <row r="775">
      <c r="C775" s="11"/>
      <c r="G775" s="12"/>
    </row>
    <row r="776">
      <c r="C776" s="11"/>
      <c r="G776" s="12"/>
    </row>
    <row r="777">
      <c r="C777" s="11"/>
      <c r="G777" s="12"/>
    </row>
    <row r="778">
      <c r="C778" s="11"/>
      <c r="G778" s="12"/>
    </row>
    <row r="779">
      <c r="C779" s="11"/>
      <c r="G779" s="12"/>
    </row>
    <row r="780">
      <c r="C780" s="11"/>
      <c r="G780" s="12"/>
    </row>
    <row r="781">
      <c r="C781" s="11"/>
      <c r="G781" s="12"/>
    </row>
    <row r="782">
      <c r="C782" s="11"/>
      <c r="G782" s="12"/>
    </row>
    <row r="783">
      <c r="C783" s="11"/>
      <c r="G783" s="12"/>
    </row>
    <row r="784">
      <c r="C784" s="11"/>
      <c r="G784" s="12"/>
    </row>
    <row r="785">
      <c r="C785" s="11"/>
      <c r="G785" s="12"/>
    </row>
    <row r="786">
      <c r="C786" s="11"/>
      <c r="G786" s="12"/>
    </row>
    <row r="787">
      <c r="C787" s="11"/>
      <c r="G787" s="12"/>
    </row>
    <row r="788">
      <c r="C788" s="11"/>
      <c r="G788" s="12"/>
    </row>
    <row r="789">
      <c r="C789" s="11"/>
      <c r="G789" s="12"/>
    </row>
    <row r="790">
      <c r="C790" s="11"/>
      <c r="G790" s="12"/>
    </row>
    <row r="791">
      <c r="C791" s="11"/>
      <c r="G791" s="12"/>
    </row>
    <row r="792">
      <c r="C792" s="11"/>
      <c r="G792" s="12"/>
    </row>
    <row r="793">
      <c r="C793" s="11"/>
      <c r="G793" s="12"/>
    </row>
    <row r="794">
      <c r="C794" s="11"/>
      <c r="G794" s="12"/>
    </row>
    <row r="795">
      <c r="C795" s="11"/>
      <c r="G795" s="12"/>
    </row>
    <row r="796">
      <c r="C796" s="11"/>
      <c r="G796" s="12"/>
    </row>
    <row r="797">
      <c r="C797" s="11"/>
      <c r="G797" s="12"/>
    </row>
    <row r="798">
      <c r="C798" s="11"/>
      <c r="G798" s="12"/>
    </row>
    <row r="799">
      <c r="C799" s="11"/>
      <c r="G799" s="12"/>
    </row>
    <row r="800">
      <c r="C800" s="11"/>
      <c r="G800" s="12"/>
    </row>
    <row r="801">
      <c r="C801" s="11"/>
      <c r="G801" s="12"/>
    </row>
    <row r="802">
      <c r="C802" s="11"/>
      <c r="G802" s="12"/>
    </row>
    <row r="803">
      <c r="C803" s="11"/>
      <c r="G803" s="12"/>
    </row>
    <row r="804">
      <c r="C804" s="11"/>
      <c r="G804" s="12"/>
    </row>
    <row r="805">
      <c r="C805" s="11"/>
      <c r="G805" s="12"/>
    </row>
    <row r="806">
      <c r="C806" s="11"/>
      <c r="G806" s="12"/>
    </row>
    <row r="807">
      <c r="C807" s="11"/>
      <c r="G807" s="12"/>
    </row>
    <row r="808">
      <c r="C808" s="11"/>
      <c r="G808" s="12"/>
    </row>
    <row r="809">
      <c r="C809" s="11"/>
      <c r="G809" s="12"/>
    </row>
    <row r="810">
      <c r="C810" s="11"/>
      <c r="G810" s="12"/>
    </row>
    <row r="811">
      <c r="C811" s="11"/>
      <c r="G811" s="12"/>
    </row>
    <row r="812">
      <c r="C812" s="11"/>
      <c r="G812" s="12"/>
    </row>
    <row r="813">
      <c r="C813" s="11"/>
      <c r="G813" s="12"/>
    </row>
    <row r="814">
      <c r="C814" s="11"/>
      <c r="G814" s="12"/>
    </row>
    <row r="815">
      <c r="C815" s="11"/>
      <c r="G815" s="12"/>
    </row>
    <row r="816">
      <c r="C816" s="11"/>
      <c r="G816" s="12"/>
    </row>
    <row r="817">
      <c r="C817" s="11"/>
      <c r="G817" s="12"/>
    </row>
    <row r="818">
      <c r="C818" s="11"/>
      <c r="G818" s="12"/>
    </row>
    <row r="819">
      <c r="C819" s="11"/>
      <c r="G819" s="12"/>
    </row>
    <row r="820">
      <c r="C820" s="11"/>
      <c r="G820" s="12"/>
    </row>
    <row r="821">
      <c r="C821" s="11"/>
      <c r="G821" s="12"/>
    </row>
    <row r="822">
      <c r="C822" s="11"/>
      <c r="G822" s="12"/>
    </row>
    <row r="823">
      <c r="C823" s="11"/>
      <c r="G823" s="12"/>
    </row>
    <row r="824">
      <c r="C824" s="11"/>
      <c r="G824" s="12"/>
    </row>
    <row r="825">
      <c r="C825" s="11"/>
      <c r="G825" s="12"/>
    </row>
    <row r="826">
      <c r="C826" s="11"/>
      <c r="G826" s="12"/>
    </row>
    <row r="827">
      <c r="C827" s="11"/>
      <c r="G827" s="12"/>
    </row>
    <row r="828">
      <c r="C828" s="11"/>
      <c r="G828" s="12"/>
    </row>
    <row r="829">
      <c r="C829" s="11"/>
      <c r="G829" s="12"/>
    </row>
    <row r="830">
      <c r="C830" s="11"/>
      <c r="G830" s="12"/>
    </row>
    <row r="831">
      <c r="C831" s="11"/>
      <c r="G831" s="12"/>
    </row>
    <row r="832">
      <c r="C832" s="11"/>
      <c r="G832" s="12"/>
    </row>
    <row r="833">
      <c r="C833" s="11"/>
      <c r="G833" s="12"/>
    </row>
    <row r="834">
      <c r="C834" s="11"/>
      <c r="G834" s="12"/>
    </row>
    <row r="835">
      <c r="C835" s="11"/>
      <c r="G835" s="12"/>
    </row>
    <row r="836">
      <c r="C836" s="11"/>
      <c r="G836" s="12"/>
    </row>
    <row r="837">
      <c r="C837" s="11"/>
      <c r="G837" s="12"/>
    </row>
    <row r="838">
      <c r="C838" s="11"/>
      <c r="G838" s="12"/>
    </row>
    <row r="839">
      <c r="C839" s="11"/>
      <c r="G839" s="12"/>
    </row>
    <row r="840">
      <c r="C840" s="11"/>
      <c r="G840" s="12"/>
    </row>
    <row r="841">
      <c r="C841" s="11"/>
      <c r="G841" s="12"/>
    </row>
    <row r="842">
      <c r="C842" s="11"/>
      <c r="G842" s="12"/>
    </row>
    <row r="843">
      <c r="C843" s="11"/>
      <c r="G843" s="12"/>
    </row>
    <row r="844">
      <c r="C844" s="11"/>
      <c r="G844" s="12"/>
    </row>
    <row r="845">
      <c r="C845" s="11"/>
      <c r="G845" s="12"/>
    </row>
    <row r="846">
      <c r="C846" s="11"/>
      <c r="G846" s="12"/>
    </row>
    <row r="847">
      <c r="C847" s="11"/>
      <c r="G847" s="12"/>
    </row>
    <row r="848">
      <c r="C848" s="11"/>
      <c r="G848" s="12"/>
    </row>
    <row r="849">
      <c r="C849" s="11"/>
      <c r="G849" s="12"/>
    </row>
    <row r="850">
      <c r="C850" s="11"/>
      <c r="G850" s="12"/>
    </row>
    <row r="851">
      <c r="C851" s="11"/>
      <c r="G851" s="12"/>
    </row>
    <row r="852">
      <c r="C852" s="11"/>
      <c r="G852" s="12"/>
    </row>
    <row r="853">
      <c r="C853" s="11"/>
      <c r="G853" s="12"/>
    </row>
    <row r="854">
      <c r="C854" s="11"/>
      <c r="G854" s="12"/>
    </row>
    <row r="855">
      <c r="C855" s="11"/>
      <c r="G855" s="12"/>
    </row>
    <row r="856">
      <c r="C856" s="11"/>
      <c r="G856" s="12"/>
    </row>
    <row r="857">
      <c r="C857" s="11"/>
      <c r="G857" s="12"/>
    </row>
    <row r="858">
      <c r="C858" s="11"/>
      <c r="G858" s="12"/>
    </row>
    <row r="859">
      <c r="C859" s="11"/>
      <c r="G859" s="12"/>
    </row>
    <row r="860">
      <c r="C860" s="11"/>
      <c r="G860" s="12"/>
    </row>
    <row r="861">
      <c r="C861" s="11"/>
      <c r="G861" s="12"/>
    </row>
    <row r="862">
      <c r="C862" s="11"/>
      <c r="G862" s="12"/>
    </row>
    <row r="863">
      <c r="C863" s="11"/>
      <c r="G863" s="12"/>
    </row>
    <row r="864">
      <c r="C864" s="11"/>
      <c r="G864" s="12"/>
    </row>
    <row r="865">
      <c r="C865" s="11"/>
      <c r="G865" s="12"/>
    </row>
    <row r="866">
      <c r="C866" s="11"/>
      <c r="G866" s="12"/>
    </row>
    <row r="867">
      <c r="C867" s="11"/>
      <c r="G867" s="12"/>
    </row>
    <row r="868">
      <c r="C868" s="11"/>
      <c r="G868" s="12"/>
    </row>
    <row r="869">
      <c r="C869" s="11"/>
      <c r="G869" s="12"/>
    </row>
    <row r="870">
      <c r="C870" s="11"/>
      <c r="G870" s="12"/>
    </row>
    <row r="871">
      <c r="C871" s="11"/>
      <c r="G871" s="12"/>
    </row>
    <row r="872">
      <c r="C872" s="11"/>
      <c r="G872" s="12"/>
    </row>
    <row r="873">
      <c r="C873" s="11"/>
      <c r="G873" s="12"/>
    </row>
    <row r="874">
      <c r="C874" s="11"/>
      <c r="G874" s="12"/>
    </row>
    <row r="875">
      <c r="C875" s="11"/>
      <c r="G875" s="12"/>
    </row>
    <row r="876">
      <c r="C876" s="11"/>
      <c r="G876" s="12"/>
    </row>
    <row r="877">
      <c r="C877" s="11"/>
      <c r="G877" s="12"/>
    </row>
    <row r="878">
      <c r="C878" s="11"/>
      <c r="G878" s="12"/>
    </row>
    <row r="879">
      <c r="C879" s="11"/>
      <c r="G879" s="12"/>
    </row>
    <row r="880">
      <c r="C880" s="11"/>
      <c r="G880" s="12"/>
    </row>
    <row r="881">
      <c r="C881" s="11"/>
      <c r="G881" s="12"/>
    </row>
    <row r="882">
      <c r="C882" s="11"/>
      <c r="G882" s="12"/>
    </row>
    <row r="883">
      <c r="C883" s="11"/>
      <c r="G883" s="12"/>
    </row>
    <row r="884">
      <c r="C884" s="11"/>
      <c r="G884" s="12"/>
    </row>
    <row r="885">
      <c r="C885" s="11"/>
      <c r="G885" s="12"/>
    </row>
    <row r="886">
      <c r="C886" s="11"/>
      <c r="G886" s="12"/>
    </row>
    <row r="887">
      <c r="C887" s="11"/>
      <c r="G887" s="12"/>
    </row>
    <row r="888">
      <c r="C888" s="11"/>
      <c r="G888" s="12"/>
    </row>
    <row r="889">
      <c r="C889" s="11"/>
      <c r="G889" s="12"/>
    </row>
    <row r="890">
      <c r="C890" s="11"/>
      <c r="G890" s="12"/>
    </row>
    <row r="891">
      <c r="C891" s="11"/>
      <c r="G891" s="12"/>
    </row>
    <row r="892">
      <c r="C892" s="11"/>
      <c r="G892" s="12"/>
    </row>
    <row r="893">
      <c r="C893" s="11"/>
      <c r="G893" s="12"/>
    </row>
    <row r="894">
      <c r="C894" s="11"/>
      <c r="G894" s="12"/>
    </row>
    <row r="895">
      <c r="C895" s="11"/>
      <c r="G895" s="12"/>
    </row>
    <row r="896">
      <c r="C896" s="11"/>
      <c r="G896" s="12"/>
    </row>
    <row r="897">
      <c r="C897" s="11"/>
      <c r="G897" s="12"/>
    </row>
    <row r="898">
      <c r="C898" s="11"/>
      <c r="G898" s="12"/>
    </row>
    <row r="899">
      <c r="C899" s="11"/>
      <c r="G899" s="12"/>
    </row>
    <row r="900">
      <c r="C900" s="11"/>
      <c r="G900" s="12"/>
    </row>
    <row r="901">
      <c r="C901" s="11"/>
      <c r="G901" s="12"/>
    </row>
    <row r="902">
      <c r="C902" s="11"/>
      <c r="G902" s="12"/>
    </row>
    <row r="903">
      <c r="C903" s="11"/>
      <c r="G903" s="12"/>
    </row>
    <row r="904">
      <c r="C904" s="11"/>
      <c r="G904" s="12"/>
    </row>
    <row r="905">
      <c r="C905" s="11"/>
      <c r="G905" s="12"/>
    </row>
    <row r="906">
      <c r="C906" s="11"/>
      <c r="G906" s="12"/>
    </row>
    <row r="907">
      <c r="C907" s="11"/>
      <c r="G907" s="12"/>
    </row>
    <row r="908">
      <c r="C908" s="11"/>
      <c r="G908" s="12"/>
    </row>
    <row r="909">
      <c r="C909" s="11"/>
      <c r="G909" s="12"/>
    </row>
    <row r="910">
      <c r="C910" s="11"/>
      <c r="G910" s="12"/>
    </row>
    <row r="911">
      <c r="C911" s="11"/>
      <c r="G911" s="12"/>
    </row>
    <row r="912">
      <c r="C912" s="11"/>
      <c r="G912" s="12"/>
    </row>
    <row r="913">
      <c r="C913" s="11"/>
      <c r="G913" s="12"/>
    </row>
    <row r="914">
      <c r="C914" s="11"/>
      <c r="G914" s="12"/>
    </row>
    <row r="915">
      <c r="C915" s="11"/>
      <c r="G915" s="12"/>
    </row>
    <row r="916">
      <c r="C916" s="11"/>
      <c r="G916" s="12"/>
    </row>
    <row r="917">
      <c r="C917" s="11"/>
      <c r="G917" s="12"/>
    </row>
    <row r="918">
      <c r="C918" s="11"/>
      <c r="G918" s="12"/>
    </row>
    <row r="919">
      <c r="C919" s="11"/>
      <c r="G919" s="12"/>
    </row>
    <row r="920">
      <c r="C920" s="11"/>
      <c r="G920" s="12"/>
    </row>
    <row r="921">
      <c r="C921" s="11"/>
      <c r="G921" s="12"/>
    </row>
    <row r="922">
      <c r="C922" s="11"/>
      <c r="G922" s="12"/>
    </row>
    <row r="923">
      <c r="C923" s="11"/>
      <c r="G923" s="12"/>
    </row>
    <row r="924">
      <c r="C924" s="11"/>
      <c r="G924" s="12"/>
    </row>
    <row r="925">
      <c r="C925" s="11"/>
      <c r="G925" s="12"/>
    </row>
    <row r="926">
      <c r="C926" s="11"/>
      <c r="G926" s="12"/>
    </row>
    <row r="927">
      <c r="C927" s="11"/>
      <c r="G927" s="12"/>
    </row>
    <row r="928">
      <c r="C928" s="11"/>
      <c r="G928" s="12"/>
    </row>
    <row r="929">
      <c r="C929" s="11"/>
      <c r="G929" s="12"/>
    </row>
    <row r="930">
      <c r="C930" s="11"/>
      <c r="G930" s="12"/>
    </row>
    <row r="931">
      <c r="C931" s="11"/>
      <c r="G931" s="12"/>
    </row>
    <row r="932">
      <c r="C932" s="11"/>
      <c r="G932" s="12"/>
    </row>
    <row r="933">
      <c r="C933" s="11"/>
      <c r="G933" s="12"/>
    </row>
    <row r="934">
      <c r="C934" s="11"/>
      <c r="G934" s="12"/>
    </row>
    <row r="935">
      <c r="C935" s="11"/>
      <c r="G935" s="12"/>
    </row>
    <row r="936">
      <c r="C936" s="11"/>
      <c r="G936" s="12"/>
    </row>
    <row r="937">
      <c r="C937" s="11"/>
      <c r="G937" s="12"/>
    </row>
    <row r="938">
      <c r="C938" s="11"/>
      <c r="G938" s="12"/>
    </row>
    <row r="939">
      <c r="C939" s="11"/>
      <c r="G939" s="12"/>
    </row>
    <row r="940">
      <c r="C940" s="11"/>
      <c r="G940" s="12"/>
    </row>
    <row r="941">
      <c r="C941" s="11"/>
      <c r="G941" s="12"/>
    </row>
    <row r="942">
      <c r="C942" s="11"/>
      <c r="G942" s="12"/>
    </row>
    <row r="943">
      <c r="C943" s="11"/>
      <c r="G943" s="12"/>
    </row>
    <row r="944">
      <c r="C944" s="11"/>
      <c r="G944" s="12"/>
    </row>
    <row r="945">
      <c r="C945" s="11"/>
      <c r="G945" s="12"/>
    </row>
    <row r="946">
      <c r="C946" s="11"/>
      <c r="G946" s="12"/>
    </row>
    <row r="947">
      <c r="C947" s="11"/>
      <c r="G947" s="12"/>
    </row>
    <row r="948">
      <c r="C948" s="11"/>
      <c r="G948" s="12"/>
    </row>
    <row r="949">
      <c r="C949" s="11"/>
      <c r="G949" s="12"/>
    </row>
    <row r="950">
      <c r="C950" s="11"/>
      <c r="G950" s="12"/>
    </row>
    <row r="951">
      <c r="C951" s="11"/>
      <c r="G951" s="12"/>
    </row>
    <row r="952">
      <c r="C952" s="11"/>
      <c r="G952" s="12"/>
    </row>
    <row r="953">
      <c r="C953" s="11"/>
      <c r="G953" s="12"/>
    </row>
    <row r="954">
      <c r="C954" s="11"/>
      <c r="G954" s="12"/>
    </row>
    <row r="955">
      <c r="C955" s="11"/>
      <c r="G955" s="12"/>
    </row>
    <row r="956">
      <c r="C956" s="11"/>
      <c r="G956" s="12"/>
    </row>
    <row r="957">
      <c r="C957" s="11"/>
      <c r="G957" s="12"/>
    </row>
    <row r="958">
      <c r="C958" s="11"/>
      <c r="G958" s="12"/>
    </row>
    <row r="959">
      <c r="C959" s="11"/>
      <c r="G959" s="12"/>
    </row>
    <row r="960">
      <c r="C960" s="11"/>
      <c r="G960" s="12"/>
    </row>
    <row r="961">
      <c r="C961" s="11"/>
      <c r="G961" s="12"/>
    </row>
    <row r="962">
      <c r="C962" s="11"/>
      <c r="G962" s="12"/>
    </row>
    <row r="963">
      <c r="C963" s="11"/>
      <c r="G963" s="12"/>
    </row>
    <row r="964">
      <c r="C964" s="11"/>
      <c r="G964" s="12"/>
    </row>
    <row r="965">
      <c r="C965" s="11"/>
      <c r="G965" s="12"/>
    </row>
    <row r="966">
      <c r="C966" s="11"/>
      <c r="G966" s="12"/>
    </row>
    <row r="967">
      <c r="C967" s="11"/>
      <c r="G967" s="12"/>
    </row>
    <row r="968">
      <c r="C968" s="11"/>
      <c r="G968" s="12"/>
    </row>
    <row r="969">
      <c r="C969" s="11"/>
      <c r="G969" s="12"/>
    </row>
    <row r="970">
      <c r="C970" s="11"/>
      <c r="G970" s="12"/>
    </row>
    <row r="971">
      <c r="C971" s="11"/>
      <c r="G971" s="12"/>
    </row>
    <row r="972">
      <c r="C972" s="11"/>
      <c r="G972" s="12"/>
    </row>
    <row r="973">
      <c r="C973" s="11"/>
      <c r="G973" s="12"/>
    </row>
    <row r="974">
      <c r="C974" s="11"/>
      <c r="G974" s="12"/>
    </row>
    <row r="975">
      <c r="C975" s="11"/>
      <c r="G975" s="12"/>
    </row>
    <row r="976">
      <c r="C976" s="11"/>
      <c r="G976" s="12"/>
    </row>
    <row r="977">
      <c r="C977" s="11"/>
      <c r="G977" s="12"/>
    </row>
    <row r="978">
      <c r="C978" s="11"/>
      <c r="G978" s="12"/>
    </row>
    <row r="979">
      <c r="C979" s="11"/>
      <c r="G979" s="12"/>
    </row>
    <row r="980">
      <c r="C980" s="11"/>
      <c r="G980" s="12"/>
    </row>
    <row r="981">
      <c r="C981" s="11"/>
      <c r="G981" s="12"/>
    </row>
    <row r="982">
      <c r="C982" s="11"/>
      <c r="G982" s="12"/>
    </row>
    <row r="983">
      <c r="C983" s="11"/>
      <c r="G983" s="12"/>
    </row>
    <row r="984">
      <c r="C984" s="11"/>
      <c r="G984" s="12"/>
    </row>
    <row r="985">
      <c r="C985" s="11"/>
      <c r="G985" s="12"/>
    </row>
    <row r="986">
      <c r="C986" s="11"/>
      <c r="G986" s="12"/>
    </row>
    <row r="987">
      <c r="C987" s="11"/>
      <c r="G987" s="12"/>
    </row>
    <row r="988">
      <c r="C988" s="11"/>
      <c r="G988" s="12"/>
    </row>
    <row r="989">
      <c r="C989" s="11"/>
      <c r="G989" s="12"/>
    </row>
    <row r="990">
      <c r="C990" s="11"/>
      <c r="G990" s="12"/>
    </row>
    <row r="991">
      <c r="C991" s="11"/>
      <c r="G991" s="12"/>
    </row>
    <row r="992">
      <c r="C992" s="11"/>
      <c r="G992" s="12"/>
    </row>
    <row r="993">
      <c r="C993" s="11"/>
      <c r="G993" s="12"/>
    </row>
    <row r="994">
      <c r="C994" s="11"/>
      <c r="G994" s="12"/>
    </row>
    <row r="995">
      <c r="C995" s="11"/>
      <c r="G995" s="12"/>
    </row>
    <row r="996">
      <c r="C996" s="11"/>
      <c r="G996" s="12"/>
    </row>
    <row r="997">
      <c r="C997" s="11"/>
      <c r="G997" s="12"/>
    </row>
    <row r="998">
      <c r="C998" s="11"/>
      <c r="G998" s="12"/>
    </row>
    <row r="999">
      <c r="C999" s="11"/>
      <c r="G999" s="12"/>
    </row>
  </sheetData>
  <hyperlinks>
    <hyperlink r:id="rId1" ref="A14"/>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1.5"/>
  </cols>
  <sheetData>
    <row r="1">
      <c r="A1" s="3" t="s">
        <v>2</v>
      </c>
    </row>
    <row r="2">
      <c r="A2" s="3" t="s">
        <v>8</v>
      </c>
    </row>
    <row r="3">
      <c r="A3" s="3" t="s">
        <v>11</v>
      </c>
    </row>
    <row r="4">
      <c r="A4" s="3" t="s">
        <v>13</v>
      </c>
    </row>
    <row r="5">
      <c r="A5" s="3" t="s">
        <v>15</v>
      </c>
    </row>
    <row r="6">
      <c r="A6" s="3" t="s">
        <v>17</v>
      </c>
    </row>
    <row r="7">
      <c r="A7" s="3" t="s">
        <v>20</v>
      </c>
    </row>
    <row r="8">
      <c r="A8" s="3" t="s">
        <v>23</v>
      </c>
    </row>
    <row r="9">
      <c r="A9" s="3" t="s">
        <v>25</v>
      </c>
    </row>
    <row r="10">
      <c r="A10" s="3" t="s">
        <v>27</v>
      </c>
    </row>
    <row r="11">
      <c r="A11" s="3" t="s">
        <v>30</v>
      </c>
    </row>
    <row r="12">
      <c r="A12" s="3" t="s">
        <v>32</v>
      </c>
    </row>
    <row r="13">
      <c r="A13" s="3" t="s">
        <v>35</v>
      </c>
    </row>
    <row r="14">
      <c r="A14" s="3" t="s">
        <v>37</v>
      </c>
    </row>
    <row r="15">
      <c r="A15" s="3" t="s">
        <v>39</v>
      </c>
    </row>
    <row r="16">
      <c r="A16" s="3" t="s">
        <v>43</v>
      </c>
    </row>
    <row r="17">
      <c r="A17" s="3" t="s">
        <v>45</v>
      </c>
    </row>
    <row r="18">
      <c r="A18" s="3" t="s">
        <v>47</v>
      </c>
    </row>
    <row r="19">
      <c r="A19" s="3" t="s">
        <v>48</v>
      </c>
    </row>
    <row r="20">
      <c r="A20" s="3" t="s">
        <v>49</v>
      </c>
    </row>
    <row r="21">
      <c r="A21" s="3" t="s">
        <v>50</v>
      </c>
    </row>
    <row r="22">
      <c r="A22" s="3" t="s">
        <v>51</v>
      </c>
    </row>
    <row r="23">
      <c r="A23" s="3" t="s">
        <v>52</v>
      </c>
    </row>
    <row r="24">
      <c r="A24" s="3" t="s">
        <v>53</v>
      </c>
    </row>
    <row r="25">
      <c r="A25" s="3" t="s">
        <v>54</v>
      </c>
    </row>
    <row r="26">
      <c r="A26" s="3" t="s">
        <v>55</v>
      </c>
    </row>
    <row r="27">
      <c r="A27" s="3" t="s">
        <v>56</v>
      </c>
    </row>
    <row r="28">
      <c r="A28" s="3" t="s">
        <v>57</v>
      </c>
    </row>
    <row r="29">
      <c r="A29" s="3" t="s">
        <v>58</v>
      </c>
    </row>
    <row r="30">
      <c r="A30" s="3" t="s">
        <v>59</v>
      </c>
    </row>
    <row r="31">
      <c r="A31" s="3" t="s">
        <v>60</v>
      </c>
    </row>
    <row r="32">
      <c r="A32" s="3" t="s">
        <v>61</v>
      </c>
    </row>
    <row r="33">
      <c r="A33" s="3" t="s">
        <v>62</v>
      </c>
    </row>
    <row r="34">
      <c r="A34" s="3" t="s">
        <v>63</v>
      </c>
    </row>
    <row r="35">
      <c r="A35" s="3" t="s">
        <v>64</v>
      </c>
    </row>
    <row r="36">
      <c r="A36" s="3" t="s">
        <v>65</v>
      </c>
    </row>
    <row r="37">
      <c r="A37" s="3" t="s">
        <v>66</v>
      </c>
    </row>
    <row r="38">
      <c r="A38" s="3" t="s">
        <v>67</v>
      </c>
    </row>
    <row r="39">
      <c r="A39" s="3" t="s">
        <v>68</v>
      </c>
    </row>
    <row r="40">
      <c r="A40" s="3" t="s">
        <v>69</v>
      </c>
    </row>
    <row r="41">
      <c r="A41" s="3" t="s">
        <v>70</v>
      </c>
    </row>
    <row r="42">
      <c r="A42" s="3" t="s">
        <v>71</v>
      </c>
    </row>
    <row r="43">
      <c r="A43" s="3" t="s">
        <v>72</v>
      </c>
    </row>
    <row r="44">
      <c r="A44" s="3" t="s">
        <v>73</v>
      </c>
    </row>
    <row r="45">
      <c r="A45" s="3" t="s">
        <v>74</v>
      </c>
    </row>
    <row r="46">
      <c r="A46" s="3" t="s">
        <v>75</v>
      </c>
    </row>
    <row r="47">
      <c r="A47" s="3" t="s">
        <v>76</v>
      </c>
    </row>
    <row r="48">
      <c r="A48" s="3" t="s">
        <v>77</v>
      </c>
    </row>
    <row r="49">
      <c r="A49" s="3" t="s">
        <v>79</v>
      </c>
    </row>
    <row r="50">
      <c r="A50" s="3" t="s">
        <v>82</v>
      </c>
    </row>
    <row r="51">
      <c r="A51" s="3" t="s">
        <v>83</v>
      </c>
    </row>
    <row r="52">
      <c r="A52" s="3" t="s">
        <v>84</v>
      </c>
    </row>
    <row r="53">
      <c r="A53" s="3" t="s">
        <v>85</v>
      </c>
    </row>
    <row r="54">
      <c r="A54" s="3" t="s">
        <v>86</v>
      </c>
    </row>
    <row r="55">
      <c r="A55" s="3" t="s">
        <v>87</v>
      </c>
    </row>
    <row r="56">
      <c r="A56" s="3" t="s">
        <v>88</v>
      </c>
    </row>
    <row r="57">
      <c r="A57" s="3" t="s">
        <v>90</v>
      </c>
    </row>
    <row r="58">
      <c r="A58" s="3" t="s">
        <v>91</v>
      </c>
    </row>
    <row r="59">
      <c r="A59" s="3" t="s">
        <v>92</v>
      </c>
    </row>
    <row r="60">
      <c r="A60" s="3" t="s">
        <v>93</v>
      </c>
    </row>
    <row r="61">
      <c r="A61" s="3" t="s">
        <v>94</v>
      </c>
    </row>
    <row r="62">
      <c r="A62" s="3" t="s">
        <v>95</v>
      </c>
    </row>
    <row r="63">
      <c r="A63" s="3" t="s">
        <v>96</v>
      </c>
    </row>
    <row r="64">
      <c r="A64" s="3" t="s">
        <v>97</v>
      </c>
    </row>
    <row r="65">
      <c r="A65" s="3" t="s">
        <v>98</v>
      </c>
    </row>
    <row r="66">
      <c r="A66" s="3" t="s">
        <v>100</v>
      </c>
    </row>
    <row r="67">
      <c r="A67" s="3" t="s">
        <v>103</v>
      </c>
    </row>
    <row r="68">
      <c r="A68" s="3" t="s">
        <v>104</v>
      </c>
    </row>
    <row r="69">
      <c r="A69" s="3" t="s">
        <v>105</v>
      </c>
    </row>
    <row r="70">
      <c r="A70" s="3" t="s">
        <v>106</v>
      </c>
    </row>
    <row r="71">
      <c r="A71" s="3" t="s">
        <v>107</v>
      </c>
    </row>
    <row r="72">
      <c r="A72" s="3" t="s">
        <v>108</v>
      </c>
    </row>
    <row r="73">
      <c r="A73" s="3" t="s">
        <v>110</v>
      </c>
    </row>
    <row r="74">
      <c r="A74" s="3" t="s">
        <v>112</v>
      </c>
    </row>
    <row r="75">
      <c r="A75" s="3" t="s">
        <v>113</v>
      </c>
    </row>
    <row r="76">
      <c r="A76" s="3" t="s">
        <v>114</v>
      </c>
    </row>
    <row r="77">
      <c r="A77" s="3" t="s">
        <v>115</v>
      </c>
    </row>
    <row r="78">
      <c r="A78" s="3" t="s">
        <v>116</v>
      </c>
    </row>
    <row r="79">
      <c r="A79" s="3" t="s">
        <v>118</v>
      </c>
    </row>
    <row r="80">
      <c r="A80" s="3" t="s">
        <v>120</v>
      </c>
    </row>
    <row r="81">
      <c r="A81" s="3" t="s">
        <v>121</v>
      </c>
    </row>
    <row r="82">
      <c r="A82" s="3" t="s">
        <v>122</v>
      </c>
    </row>
    <row r="83">
      <c r="A83" s="3" t="s">
        <v>123</v>
      </c>
    </row>
    <row r="84">
      <c r="A84" s="3" t="s">
        <v>124</v>
      </c>
    </row>
    <row r="85">
      <c r="A85" s="3" t="s">
        <v>128</v>
      </c>
    </row>
    <row r="86">
      <c r="A86" s="3" t="s">
        <v>131</v>
      </c>
    </row>
    <row r="87">
      <c r="A87" s="3" t="s">
        <v>134</v>
      </c>
    </row>
    <row r="88">
      <c r="A88" s="3" t="s">
        <v>135</v>
      </c>
    </row>
    <row r="89">
      <c r="A89" s="3"/>
    </row>
    <row r="90">
      <c r="A90" s="3"/>
    </row>
    <row r="91">
      <c r="A91" s="3"/>
    </row>
    <row r="92">
      <c r="A92" s="3"/>
    </row>
    <row r="93">
      <c r="A93" s="3"/>
    </row>
    <row r="94">
      <c r="A94" s="3"/>
    </row>
    <row r="95">
      <c r="A95" s="3"/>
    </row>
    <row r="96">
      <c r="A96" s="3"/>
    </row>
    <row r="97">
      <c r="A97" s="3"/>
    </row>
    <row r="98">
      <c r="A98" s="3"/>
    </row>
    <row r="99">
      <c r="A99" s="3"/>
    </row>
    <row r="100">
      <c r="A100" s="3"/>
    </row>
    <row r="101">
      <c r="A101" s="3"/>
    </row>
    <row r="102">
      <c r="A102" s="3"/>
    </row>
    <row r="103">
      <c r="A103" s="3"/>
    </row>
    <row r="104">
      <c r="A104" s="3"/>
    </row>
    <row r="105">
      <c r="A105" s="3"/>
    </row>
    <row r="106">
      <c r="A106" s="3"/>
    </row>
    <row r="107">
      <c r="A107" s="3"/>
    </row>
    <row r="108">
      <c r="A108" s="3"/>
    </row>
    <row r="109">
      <c r="A109" s="3"/>
    </row>
    <row r="110">
      <c r="A110" s="3"/>
    </row>
    <row r="111">
      <c r="A111" s="3"/>
    </row>
    <row r="112">
      <c r="A112" s="3"/>
    </row>
    <row r="113">
      <c r="A113" s="3"/>
    </row>
    <row r="114">
      <c r="A114" s="3"/>
    </row>
    <row r="115">
      <c r="A115" s="3"/>
    </row>
    <row r="116">
      <c r="A116" s="3"/>
    </row>
    <row r="117">
      <c r="A117" s="3"/>
    </row>
    <row r="118">
      <c r="A118" s="3"/>
    </row>
    <row r="119">
      <c r="A119" s="3"/>
    </row>
    <row r="120">
      <c r="A120" s="3"/>
    </row>
    <row r="121">
      <c r="A121" s="3"/>
    </row>
    <row r="122">
      <c r="A122" s="3"/>
    </row>
    <row r="123">
      <c r="A123" s="3"/>
    </row>
    <row r="124">
      <c r="A124" s="3"/>
    </row>
    <row r="125">
      <c r="A125" s="3"/>
    </row>
    <row r="126">
      <c r="A126" s="3"/>
    </row>
    <row r="127">
      <c r="A127" s="3"/>
    </row>
    <row r="128">
      <c r="A128" s="3"/>
    </row>
    <row r="129">
      <c r="A129" s="3"/>
    </row>
    <row r="130">
      <c r="A130" s="3"/>
    </row>
    <row r="131">
      <c r="A131" s="3"/>
    </row>
    <row r="132">
      <c r="A132" s="3"/>
    </row>
    <row r="133">
      <c r="A133" s="3"/>
    </row>
    <row r="134">
      <c r="A134" s="3"/>
    </row>
    <row r="135">
      <c r="A135" s="3"/>
    </row>
    <row r="136">
      <c r="A136" s="3"/>
    </row>
    <row r="137">
      <c r="A137" s="3"/>
    </row>
    <row r="138">
      <c r="A138" s="3"/>
    </row>
    <row r="139">
      <c r="A139" s="3"/>
    </row>
    <row r="140">
      <c r="A140" s="3"/>
    </row>
    <row r="141">
      <c r="A141" s="3"/>
    </row>
    <row r="142">
      <c r="A142" s="3"/>
    </row>
    <row r="143">
      <c r="A143" s="3"/>
    </row>
    <row r="144">
      <c r="A144" s="3"/>
    </row>
    <row r="145">
      <c r="A145" s="3"/>
    </row>
    <row r="146">
      <c r="A146" s="3"/>
    </row>
    <row r="147">
      <c r="A147" s="3"/>
    </row>
    <row r="148">
      <c r="A148" s="3"/>
    </row>
    <row r="149">
      <c r="A149" s="3"/>
    </row>
    <row r="150">
      <c r="A150" s="3"/>
    </row>
    <row r="151">
      <c r="A151" s="3"/>
    </row>
    <row r="152">
      <c r="A152" s="3"/>
    </row>
    <row r="153">
      <c r="A153" s="3"/>
    </row>
    <row r="154">
      <c r="A154" s="3"/>
    </row>
    <row r="155">
      <c r="A155" s="3"/>
    </row>
    <row r="156">
      <c r="A156" s="3"/>
    </row>
    <row r="157">
      <c r="A157" s="3"/>
    </row>
    <row r="158">
      <c r="A158" s="3"/>
    </row>
    <row r="159">
      <c r="A159" s="3"/>
    </row>
    <row r="160">
      <c r="A160" s="3"/>
    </row>
    <row r="161">
      <c r="A161" s="3"/>
    </row>
    <row r="162">
      <c r="A162" s="3"/>
    </row>
    <row r="163">
      <c r="A163" s="3"/>
    </row>
    <row r="164">
      <c r="A164" s="3"/>
    </row>
    <row r="165">
      <c r="A165" s="3"/>
    </row>
    <row r="166">
      <c r="A166" s="3"/>
    </row>
    <row r="167">
      <c r="A167" s="3"/>
    </row>
    <row r="168">
      <c r="A168" s="3"/>
    </row>
    <row r="169">
      <c r="A169" s="3"/>
    </row>
    <row r="170">
      <c r="A170" s="3"/>
    </row>
    <row r="171">
      <c r="A171" s="3"/>
    </row>
    <row r="172">
      <c r="A172" s="3"/>
    </row>
    <row r="173">
      <c r="A173" s="3"/>
    </row>
    <row r="174">
      <c r="A174" s="3"/>
    </row>
    <row r="175">
      <c r="A175" s="3"/>
    </row>
    <row r="176">
      <c r="A176" s="3"/>
    </row>
    <row r="177">
      <c r="A177" s="3"/>
    </row>
    <row r="178">
      <c r="A178" s="3"/>
    </row>
    <row r="179">
      <c r="A179" s="3"/>
    </row>
    <row r="180">
      <c r="A180" s="3"/>
    </row>
    <row r="181">
      <c r="A181" s="3"/>
    </row>
    <row r="182">
      <c r="A182" s="3"/>
    </row>
    <row r="183">
      <c r="A183" s="3"/>
    </row>
    <row r="184">
      <c r="A184" s="3"/>
    </row>
    <row r="185">
      <c r="A185" s="3"/>
    </row>
    <row r="186">
      <c r="A186" s="3"/>
    </row>
    <row r="187">
      <c r="A187" s="3"/>
    </row>
    <row r="188">
      <c r="A188" s="3"/>
    </row>
    <row r="189">
      <c r="A189" s="3"/>
    </row>
    <row r="190">
      <c r="A190" s="3"/>
    </row>
    <row r="191">
      <c r="A191" s="3"/>
    </row>
    <row r="192">
      <c r="A192" s="3"/>
    </row>
    <row r="193">
      <c r="A193" s="3"/>
    </row>
    <row r="194">
      <c r="A194" s="3"/>
    </row>
    <row r="195">
      <c r="A195" s="3"/>
    </row>
    <row r="196">
      <c r="A196" s="3"/>
    </row>
    <row r="197">
      <c r="A197" s="3"/>
    </row>
    <row r="198">
      <c r="A198" s="3"/>
    </row>
    <row r="199">
      <c r="A199" s="3"/>
    </row>
    <row r="200">
      <c r="A200" s="3"/>
    </row>
    <row r="201">
      <c r="A201" s="3"/>
    </row>
    <row r="202">
      <c r="A202" s="3"/>
    </row>
    <row r="203">
      <c r="A203" s="3"/>
    </row>
    <row r="204">
      <c r="A204" s="3"/>
    </row>
    <row r="205">
      <c r="A205" s="3"/>
    </row>
  </sheetData>
  <drawing r:id="rId1"/>
</worksheet>
</file>