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s" sheetId="1" r:id="rId5"/>
    <sheet state="visible" name="Export" sheetId="2" r:id="rId6"/>
    <sheet state="visible" name="Status" sheetId="3" r:id="rId7"/>
    <sheet state="visible" name="download log" sheetId="4" r:id="rId8"/>
    <sheet state="visible" name="Blocks" sheetId="5" r:id="rId9"/>
    <sheet state="visible" name="Problems"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8">
      <text>
        <t xml:space="preserve">Responder updated this value.</t>
      </text>
    </comment>
  </commentList>
</comments>
</file>

<file path=xl/sharedStrings.xml><?xml version="1.0" encoding="utf-8"?>
<sst xmlns="http://schemas.openxmlformats.org/spreadsheetml/2006/main" count="1594" uniqueCount="784">
  <si>
    <t>A01</t>
  </si>
  <si>
    <t>Zachnad0/AUS-NZ-Track-A-RFIC-Workspace</t>
  </si>
  <si>
    <t>Team</t>
  </si>
  <si>
    <t>info.yaml</t>
  </si>
  <si>
    <t>info/A01_info.yaml</t>
  </si>
  <si>
    <t>Track lead</t>
  </si>
  <si>
    <t>Status</t>
  </si>
  <si>
    <t>lvs_config</t>
  </si>
  <si>
    <t>lvs/lvs_config.json</t>
  </si>
  <si>
    <t>TOP_LAYOUT</t>
  </si>
  <si>
    <t>chip_top</t>
  </si>
  <si>
    <t>LAYOUT_FILE</t>
  </si>
  <si>
    <t>gds/chip_top.gds</t>
  </si>
  <si>
    <t>GDS saved</t>
  </si>
  <si>
    <t>gds/A01/chip_top.gds</t>
  </si>
  <si>
    <t>A02</t>
  </si>
  <si>
    <t>setup99/chipathon-2026-AI_Byte</t>
  </si>
  <si>
    <t>A06</t>
  </si>
  <si>
    <t>info/A02_info.yaml</t>
  </si>
  <si>
    <t>A07</t>
  </si>
  <si>
    <t>Top_cell</t>
  </si>
  <si>
    <t>lvs_config.json</t>
  </si>
  <si>
    <t>gds_file</t>
  </si>
  <si>
    <t>width</t>
  </si>
  <si>
    <t>A09</t>
  </si>
  <si>
    <t>height</t>
  </si>
  <si>
    <t>A02_A</t>
  </si>
  <si>
    <t>Size Check</t>
  </si>
  <si>
    <t>A10</t>
  </si>
  <si>
    <t>gds/A02_A.gds</t>
  </si>
  <si>
    <t>A12</t>
  </si>
  <si>
    <t>Export</t>
  </si>
  <si>
    <t>A13</t>
  </si>
  <si>
    <t>gds/A02/A02_A.gds</t>
  </si>
  <si>
    <t>Slot Type</t>
  </si>
  <si>
    <t>Pin Count</t>
  </si>
  <si>
    <t>mqrnknoetonoob/MarkovChip</t>
  </si>
  <si>
    <t>A19</t>
  </si>
  <si>
    <t>power</t>
  </si>
  <si>
    <t>A20</t>
  </si>
  <si>
    <t>info/A06_info.yaml</t>
  </si>
  <si>
    <t>ground</t>
  </si>
  <si>
    <t>A23</t>
  </si>
  <si>
    <t>analog-ESD</t>
  </si>
  <si>
    <t>analog+ESD</t>
  </si>
  <si>
    <t>A28</t>
  </si>
  <si>
    <t>input_cmos</t>
  </si>
  <si>
    <t>input_schmitt</t>
  </si>
  <si>
    <t>A30</t>
  </si>
  <si>
    <t>A06_BH_top_wrapper</t>
  </si>
  <si>
    <t>bidirectional</t>
  </si>
  <si>
    <t>bidirectional_24ma</t>
  </si>
  <si>
    <t>A34</t>
  </si>
  <si>
    <t>unmatched</t>
  </si>
  <si>
    <t>Physical_Design/After_Padring_Integration/RUN_A06_BH_WRAPPED_FINAL/results/final/gds/A06_BH_top_wrapper.gds</t>
  </si>
  <si>
    <t>errors</t>
  </si>
  <si>
    <t>A37</t>
  </si>
  <si>
    <t>gds/A06/A06_BH_top_wrapper.gds</t>
  </si>
  <si>
    <t>chip_top.gds</t>
  </si>
  <si>
    <t>A40</t>
  </si>
  <si>
    <t>A43</t>
  </si>
  <si>
    <t>ratshgupta-guptar76/blueprints</t>
  </si>
  <si>
    <t>A44</t>
  </si>
  <si>
    <t>A45</t>
  </si>
  <si>
    <t>info/A07_info.yaml</t>
  </si>
  <si>
    <t>A48</t>
  </si>
  <si>
    <t>A49</t>
  </si>
  <si>
    <t>A53</t>
  </si>
  <si>
    <t>A07_dcim_top</t>
  </si>
  <si>
    <t>A54</t>
  </si>
  <si>
    <t>is it EAR99?</t>
  </si>
  <si>
    <t>gds/A07_dcim_top.gds</t>
  </si>
  <si>
    <t>A56</t>
  </si>
  <si>
    <t>A63</t>
  </si>
  <si>
    <t>gds/A07/A07_dcim_top.gds</t>
  </si>
  <si>
    <t>A02 AI_Byte</t>
  </si>
  <si>
    <t>A64</t>
  </si>
  <si>
    <t>irfannhlm/OpenQSPI_Chipathon2026</t>
  </si>
  <si>
    <t>A66</t>
  </si>
  <si>
    <t>A68</t>
  </si>
  <si>
    <t>info/A09_info.yaml</t>
  </si>
  <si>
    <t>A71</t>
  </si>
  <si>
    <t>B02</t>
  </si>
  <si>
    <t>B04</t>
  </si>
  <si>
    <t>A09_BV</t>
  </si>
  <si>
    <t>B08</t>
  </si>
  <si>
    <t>B11</t>
  </si>
  <si>
    <t>B12</t>
  </si>
  <si>
    <t>layout/chipathon26-template/macros/A09_BV/final/gds/A09_BV.gds</t>
  </si>
  <si>
    <t>B14</t>
  </si>
  <si>
    <t>B18</t>
  </si>
  <si>
    <t>gds/A09/A09_BV.gds</t>
  </si>
  <si>
    <t>B23</t>
  </si>
  <si>
    <t>B24</t>
  </si>
  <si>
    <t>lakshmikiyer/Chipathon-2026-A10_Cryptoaccel</t>
  </si>
  <si>
    <t>B26</t>
  </si>
  <si>
    <t>B29</t>
  </si>
  <si>
    <t>info/A10_info.yaml</t>
  </si>
  <si>
    <t>C01</t>
  </si>
  <si>
    <t>Luighi</t>
  </si>
  <si>
    <t>Approved</t>
  </si>
  <si>
    <t>C04</t>
  </si>
  <si>
    <t>A10_A</t>
  </si>
  <si>
    <t>C05</t>
  </si>
  <si>
    <t>D03</t>
  </si>
  <si>
    <t>Integration_with_def/Runs/final/gds/A10_A.gds</t>
  </si>
  <si>
    <t>gds/A10/A10_A.gds</t>
  </si>
  <si>
    <t>D04</t>
  </si>
  <si>
    <t>D05</t>
  </si>
  <si>
    <t>Sheffield-Chip-Design-Team/chipathon-2026-grouper</t>
  </si>
  <si>
    <t>D10</t>
  </si>
  <si>
    <t>info/A12_info.yaml</t>
  </si>
  <si>
    <t>D15</t>
  </si>
  <si>
    <t>librelane/classic/lvs_config.json</t>
  </si>
  <si>
    <t>D16</t>
  </si>
  <si>
    <t>grouper_soc_chip_core</t>
  </si>
  <si>
    <t>final/gds/grouper_soc_chip_core.gds</t>
  </si>
  <si>
    <t>gds/A12/grouper_soc_chip_core.gds</t>
  </si>
  <si>
    <t>brubru6707/hungry-chippos-chipathon-2026</t>
  </si>
  <si>
    <t>info/A13_info.yaml</t>
  </si>
  <si>
    <t>A06 BUETCHIP</t>
  </si>
  <si>
    <t>adc_top</t>
  </si>
  <si>
    <t>adc_top/layout/adc_chip_top.gds</t>
  </si>
  <si>
    <t>gds/A13/adc_chip_top.gds</t>
  </si>
  <si>
    <t>A64 UFJF On Chip</t>
  </si>
  <si>
    <t>Amal-K-Anil/Systolic-Tensor-Accelerator</t>
  </si>
  <si>
    <t>info/A19_info.yaml</t>
  </si>
  <si>
    <t>A07 Blueprints</t>
  </si>
  <si>
    <t>B18 Probton</t>
  </si>
  <si>
    <t>C05 MRTMOS</t>
  </si>
  <si>
    <t>gds/A19/chip_top.gds</t>
  </si>
  <si>
    <t>2Charts/chipathon26-A20-FIR_Filter</t>
  </si>
  <si>
    <t>info/A20_info.yaml</t>
  </si>
  <si>
    <t>A12 Grouper A12</t>
  </si>
  <si>
    <t>system_top</t>
  </si>
  <si>
    <t>final/gds/system_top.gds</t>
  </si>
  <si>
    <t>D10 SystemsGenesys (D10)</t>
  </si>
  <si>
    <t>gds/A20/system_top.gds</t>
  </si>
  <si>
    <t>Gior-gio/Chipathon-2026-OnChipSAR</t>
  </si>
  <si>
    <t>A37 TensorGrid (A37)</t>
  </si>
  <si>
    <t>info/A23_info.yaml</t>
  </si>
  <si>
    <t>A10 CryptoAccel</t>
  </si>
  <si>
    <t>2:VDDA VDDD</t>
  </si>
  <si>
    <t>2:VSSA VSSD</t>
  </si>
  <si>
    <t>7:IBIAS ISS VTUNE CP_OUT Q_N I_N Q_P</t>
  </si>
  <si>
    <t>sar_adc_10b</t>
  </si>
  <si>
    <t>0:</t>
  </si>
  <si>
    <t>1:REF_IN</t>
  </si>
  <si>
    <t>1:I_P</t>
  </si>
  <si>
    <t>designs/sar_adc/top/sar_adc_10b/gds/sar_adc_10b.gds</t>
  </si>
  <si>
    <t>A63 Technocrats</t>
  </si>
  <si>
    <t>A02_A.gds</t>
  </si>
  <si>
    <t>gds/A23/sar_adc_10b.gds</t>
  </si>
  <si>
    <t>B11 CuriousIC</t>
  </si>
  <si>
    <t>A25</t>
  </si>
  <si>
    <t>elnaggar/Open-Silicon-10-Bit-SAR-ADC</t>
  </si>
  <si>
    <t>ERROR</t>
  </si>
  <si>
    <t>info.yaml not found in elnaggar/Open-Silicon-10-Bit-SAR-ADC on the main branch</t>
  </si>
  <si>
    <t>B12 Electron Ensemble</t>
  </si>
  <si>
    <t>Rani340/chipathon-2026-Silicon_BGR</t>
  </si>
  <si>
    <t>B22 Space Jam</t>
  </si>
  <si>
    <t>info/A28_info.yaml</t>
  </si>
  <si>
    <t>A53 - Iris Labs Hardware</t>
  </si>
  <si>
    <t>bgr_top_firstcut</t>
  </si>
  <si>
    <t>D04 Chip Orchstra (D04 )</t>
  </si>
  <si>
    <t>gds/bgr_top_firstcut.gds</t>
  </si>
  <si>
    <t>gds/A28/bgr_top_firstcut.gds</t>
  </si>
  <si>
    <t>D05 Gelochip</t>
  </si>
  <si>
    <t>dev65808/chipathon-2026-SILICON_RISC-V</t>
  </si>
  <si>
    <t>A68 elka1 (A68)</t>
  </si>
  <si>
    <t>info/A30_info.yaml</t>
  </si>
  <si>
    <t>A20 MisterKebab (A20)</t>
  </si>
  <si>
    <t>qspi_chip_top</t>
  </si>
  <si>
    <t>gds/qspi_chip_top.gds</t>
  </si>
  <si>
    <t>A43] XLR8</t>
  </si>
  <si>
    <t>gds/A30/qspi_chip_top.gds</t>
  </si>
  <si>
    <t>1:VDD</t>
  </si>
  <si>
    <t>1:VSS</t>
  </si>
  <si>
    <t>19:clk data_IN[7] data_IN[5] data_IN[6] data_IN[4] data_IN[0] data_IN[1] data_IN[2] data_IN[3] addr[0] addr[1] addr[2] addr[3] irq_IN re debug_state_IN[0] debug_state_IN[2] debug_state_IN[1] we</t>
  </si>
  <si>
    <t>A49 Berkah Saluyu</t>
  </si>
  <si>
    <t>1:rst_n</t>
  </si>
  <si>
    <t>Waleed99i/chipathon-2026-systolic-ip-core</t>
  </si>
  <si>
    <t>124:clk_PU clk_PD data_CS[7] data_SL[7] data_IE[7] data_OE[7] data_PU[7] data_PD[7] data_OUT[7] data_PDRV0[7] data_PDRV1[7] data_CS[5] data_SL[5] data_IE[5] data_OE[5] data_PU[5] data_PD[5] data_OUT[5] data_PDRV0[5] data_PDRV1[5] data_CS[6] data_SL[6] data_IE[6] data_OE[6] data_PU[6] data_PD[6] data_OUT[6] data_PDRV0[6] data_PDRV1[6] data_CS[4] data_SL[4] data_IE[4] data_OE[4] data_PU[4] data_PD[4] data_OUT[4] data_PDRV0[4] data_PDRV1[4] data_CS[0] data_SL[0] data_IE[0] data_OE[0] data_PU[0] data_PD[0] data_OUT[0] data_PDRV0[0] data_PDRV1[0] data_CS[1] data_SL[1] data_IE[1] data_OE[1] data_PU[1] data_PD[1] data_OUT[1] data_PDRV0[1] data_PDRV1[1] data_CS[2] data_SL[2] data_IE[2] data_OE[2] data_PU[2] data_PD[2] data_OUT[2] data_PDRV0[2] data_PDRV1[2] data_CS[3] data_SL[3] data_IE[3] data_OE[3] data_PU[3] data_PD[3] data_OUT[3] data_PDRV0[3] data_PDRV1[3] addr_PU[0] addr_PD[0] addr_PU[1] addr_PD[1] addr_PU[2] addr_PD[2] addr_PU[3] addr_PD[3] irq_CS irq_SL irq_IE irq_OE irq_PU irq_PD irq_OUT irq_PDRV0 irq_PDRV1 re_PU re_PD debug_state_CS[0] debug_state_SL[0] debug_state_IE[0] debug_state_OE[0] debug_state_PU[0] debug_state_PD[0] debug_state_OUT[0] debug_state_PDRV0[0] debug_state_PDRV1[0] debug_state_CS[2] debug_state_SL[2] debug_state_IE[2] debug_state_OE[2] debug_state_PU[2] debug_state_PD[2] debug_state_OUT[2] debug_state_PDRV0[2] debug_state_PDRV1[2] debug_state_CS[1] debug_state_SL[1] debug_state_IE[1] debug_state_OE[1] debug_state_PU[1] debug_state_PD[1] debug_state_OUT[1] debug_state_PDRV0[1] debug_state_PDRV1[1] we_PU we_PD rst_n_PU rst_n_PD</t>
  </si>
  <si>
    <t>info/A34_info.yaml</t>
  </si>
  <si>
    <t>B04_AURA</t>
  </si>
  <si>
    <t>A06_BH_top_wrapper.gds</t>
  </si>
  <si>
    <t>chip_core</t>
  </si>
  <si>
    <t>D05 Gelochip (D05)</t>
  </si>
  <si>
    <t>gds/chip_core.gds</t>
  </si>
  <si>
    <t>gds/A34/chip_core.gds</t>
  </si>
  <si>
    <t>A56 Finding SRAM</t>
  </si>
  <si>
    <t>A36</t>
  </si>
  <si>
    <t>felixrdtke/A36</t>
  </si>
  <si>
    <t>A09 Crispi</t>
  </si>
  <si>
    <t>B05 Acoustic Ranger</t>
  </si>
  <si>
    <t>info/A36_info.yaml</t>
  </si>
  <si>
    <t>A34 SiliconForge(A34)</t>
  </si>
  <si>
    <t>&lt;relative-path-to-lvs_config.json&gt;</t>
  </si>
  <si>
    <t>B14 MX_UPP_INAOE</t>
  </si>
  <si>
    <t>&lt;relative-path-to-lvs_config.json&gt; not found in felixrdtke/A36 on the main branch</t>
  </si>
  <si>
    <t>KBdeGaulle1803/TensorGrid</t>
  </si>
  <si>
    <t>A58 Capibara Convolucional</t>
  </si>
  <si>
    <t>info/A37_info.yaml</t>
  </si>
  <si>
    <t>8:clk spi_in0 spi_in1 spi_in2 spi_in3 load_row_or_col input_ready output_valid</t>
  </si>
  <si>
    <t>integration_final</t>
  </si>
  <si>
    <t>5:spi_out0 spi_out1 spi_out2 spi_out3 output_ready</t>
  </si>
  <si>
    <t>physical/librelane/final/gds/integration_final.gds</t>
  </si>
  <si>
    <t>A66 SynChronos</t>
  </si>
  <si>
    <t>gds/A37/integration_final.gds</t>
  </si>
  <si>
    <t>A38</t>
  </si>
  <si>
    <t>EngGhaith/The-Silent-Owl-GF180MCU-WB-LNA</t>
  </si>
  <si>
    <t>D08 - Microelectronic Block Generator</t>
  </si>
  <si>
    <t>info.yaml not found in EngGhaith/The-Silent-Owl-GF180MCU-WB-LNA on the main branch</t>
  </si>
  <si>
    <t>A40 Trouper</t>
  </si>
  <si>
    <t>Sheffield-Chip-Design-Team/chipathon-2026-trouper</t>
  </si>
  <si>
    <t>info/A40_info.yaml</t>
  </si>
  <si>
    <t>1774:clknet_0_clk clknet_3_0_0_clk clknet_3_1_0_clk clknet_3_2_0_clk clknet_3_3_0_clk clknet_3_4_0_clk clknet_3_5_0_clk clknet_3_6_0_clk clknet_3_7_0_clk clknet_4_0__leaf_clk clknet_4_10__leaf_clk clknet_4_11__leaf_clk clknet_4_12__leaf_clk clknet_4_13__leaf_clk clknet_4_14__leaf_clk clknet_4_15__leaf_clk clknet_4_1__leaf_clk clknet_4_2__leaf_clk clknet_4_3__leaf_clk clknet_4_4__leaf_clk clknet_4_5__leaf_clk clknet_4_6__leaf_clk clknet_4_7__leaf_clk clknet_4_8__leaf_clk clknet_4_9__leaf_clk clknet_leaf_0_clk clknet_leaf_100_clk clknet_leaf_101_clk clknet_leaf_102_clk clknet_leaf_103_clk clknet_leaf_104_clk clknet_leaf_105_clk clknet_leaf_106_clk clknet_leaf_107_clk clknet_leaf_108_clk clknet_leaf_109_clk clknet_leaf_10_clk clknet_leaf_110_clk clknet_leaf_111_clk clknet_leaf_112_clk clknet_leaf_113_clk clknet_leaf_114_clk clknet_leaf_115_clk clknet_leaf_116_clk clknet_leaf_117_clk clknet_leaf_119_clk clknet_leaf_11_clk clknet_leaf_120_clk clknet_leaf_121_clk clknet_leaf_122_clk clknet_leaf_123_clk clknet_leaf_124_clk clknet_leaf_125_clk clknet_leaf_126_clk clknet_leaf_127_clk clknet_leaf_128_clk clknet_leaf_129_clk clknet_leaf_12_clk clknet_leaf_130_clk clknet_leaf_131_clk clknet_leaf_132_clk clknet_leaf_133_clk clknet_leaf_134_clk clknet_leaf_135_clk clknet_leaf_136_clk clknet_leaf_137_clk clknet_leaf_138_clk clknet_leaf_139_clk clknet_leaf_13_clk clknet_leaf_140_clk clknet_leaf_141_clk clknet_leaf_143_clk clknet_leaf_144_clk clknet_leaf_145_clk clknet_leaf_146_clk clknet_leaf_147_clk clknet_leaf_148_clk clknet_leaf_149_clk clknet_leaf_14_clk clknet_leaf_150_clk clknet_leaf_151_clk clknet_leaf_152_clk clknet_leaf_153_clk clknet_leaf_154_clk clknet_leaf_156_clk clknet_leaf_157_clk clknet_leaf_158_clk clknet_leaf_159_clk clknet_leaf_15_clk clknet_leaf_160_clk clknet_leaf_161_clk clknet_leaf_162_clk clknet_leaf_163_clk clknet_leaf_164_clk clknet_leaf_165_clk clknet_leaf_166_clk clknet_leaf_167_clk clknet_leaf_168_clk clknet_leaf_169_clk clknet_leaf_16_clk clknet_leaf_170_clk clknet_leaf_171_clk clknet_leaf_172_clk clknet_leaf_173_clk clknet_leaf_174_clk clknet_leaf_175_clk clknet_leaf_176_clk clknet_leaf_177_clk clknet_leaf_178_clk clknet_leaf_179_clk clknet_leaf_17_clk clknet_leaf_180_clk clknet_leaf_181_clk clknet_leaf_182_clk clknet_leaf_183_clk clknet_leaf_184_clk clknet_leaf_185_clk clknet_leaf_186_clk clknet_leaf_187_clk clknet_leaf_188_clk clknet_leaf_189_clk clknet_leaf_18_clk clknet_leaf_190_clk clknet_leaf_191_clk clknet_leaf_192_clk clknet_leaf_193_clk clknet_leaf_194_clk clknet_leaf_195_clk clknet_leaf_196_clk clknet_leaf_197_clk clknet_leaf_198_clk clknet_leaf_199_clk clknet_leaf_19_clk clknet_leaf_1_clk clknet_leaf_200_clk clknet_leaf_201_clk clknet_leaf_202_clk clknet_leaf_203_clk clknet_leaf_204_clk clknet_leaf_205_clk clknet_leaf_207_clk clknet_leaf_208_clk clknet_leaf_209_clk clknet_leaf_20_clk clknet_leaf_210_clk clknet_leaf_211_clk clknet_leaf_212_clk clknet_leaf_213_clk clknet_leaf_214_clk clknet_leaf_215_clk clknet_leaf_216_clk clknet_leaf_217_clk clknet_leaf_218_clk clknet_leaf_219_clk clknet_leaf_21_clk clknet_leaf_220_clk clknet_leaf_221_clk clknet_leaf_22_clk clknet_leaf_23_clk clknet_leaf_24_clk clknet_leaf_25_clk clknet_leaf_26_clk clknet_leaf_27_clk clknet_leaf_28_clk clknet_leaf_29_clk clknet_leaf_2_clk clknet_leaf_30_clk clknet_leaf_31_clk clknet_leaf_32_clk clknet_leaf_33_clk clknet_leaf_34_clk clknet_leaf_35_clk clknet_leaf_36_clk clknet_leaf_37_clk clknet_leaf_38_clk clknet_leaf_39_clk clknet_leaf_3_clk clknet_leaf_40_clk clknet_leaf_41_clk clknet_leaf_42_clk clknet_leaf_43_clk clknet_leaf_44_clk clknet_leaf_45_clk clknet_leaf_46_clk clknet_leaf_47_clk clknet_leaf_49_clk clknet_leaf_4_clk clknet_leaf_50_clk clknet_leaf_51_clk clknet_leaf_52_clk clknet_leaf_53_clk clknet_leaf_54_clk clknet_leaf_55_clk clknet_leaf_56_clk clknet_leaf_57_clk clknet_leaf_58_clk clknet_leaf_59_clk clknet_leaf_5_clk clknet_leaf_60_clk clknet_leaf_61_clk clknet_leaf_62_clk clknet_leaf_63_clk clknet_leaf_64_clk clknet_leaf_65_clk clknet_leaf_66_clk clknet_leaf_67_clk clknet_leaf_68_clk clknet_leaf_69_clk clknet_leaf_6_clk clknet_leaf_70_clk clknet_leaf_71_clk clknet_leaf_72_clk clknet_leaf_73_clk clknet_leaf_74_clk clknet_leaf_75_clk clknet_leaf_76_clk clknet_leaf_77_clk clknet_leaf_78_clk clknet_leaf_79_clk clknet_leaf_7_clk clknet_leaf_80_clk clknet_leaf_81_clk clknet_leaf_82_clk clknet_leaf_83_clk clknet_leaf_84_clk clknet_leaf_85_clk clknet_leaf_86_clk clknet_leaf_87_clk clknet_leaf_88_clk clknet_leaf_89_clk clknet_leaf_8_clk clknet_leaf_90_clk clknet_leaf_91_clk clknet_leaf_92_clk clknet_leaf_93_clk clknet_leaf_94_clk clknet_leaf_95_clk clknet_leaf_96_clk clknet_leaf_97_clk clknet_leaf_98_clk clknet_leaf_99_clk clknet_leaf_9_clk net1 net10 net100 net1000 net1001 net1002 net1003 net1004 net1005 net1006 net1007 net1008 net1009 net101 net1010 net1011 net1012 net1013 net1014 net1015 net1016 net1017 net1018 net1019 net102 net1020 net1021 net1022 net1023 net1024 net1025 net1026 net1027 net1028 net1029 net103 net1030 net1031 net1032 net1033 net1034 net1035 net1036 net1037 net1038 net1039 net104 net1040 net1041 net1042 net1043 net1044 net1045 net1046 net1047 net1048 net1049 net105 net1050 net1051 net1052 net1053 net1054 net1055 net1056 net1057 net1058 net1059 net106 net1060 net1061 net1062 net1063 net1064 net1065 net1066 net1067 net1068 net1069 net107 net1070 net1071 net1072 net1073 net1074 net1075 net1076 net1077 net1078 net1079 net108 net1080 net1081 net1082 net1083 net1084 net1085 net1086 net1087 net1088 net1089 net109 net1090 net1091 net1092 net1093 net1094 net1095 net1096 net1097 net1098 net1099 net11 net110 net1100 net1101 net1102 net1103 net1104 net1105 net1106 net1107 net1108 net1109 net111 net1110 net1111 net1112 net1113 net1114 net1115 net1116 net1117 net1118 net1119 net112 net1120 net1121 net1122 net1123 net1124 net1125 net1126 net1127 net1128 net1129 net113 net1130 net1131 net1132 net1133 net1134 net1135 net1136 net1137 net1138 net1139 net114 net1140 net1141 net1142 net1143 net1144 net1145 net1146 net1147 net1148 net1149 net115 net1150 net1151 net1152 net1153 net1154 net1155 net1156 net1157 net1158 net1159 net116 net1160 net1161 net1162 net1163 net1164 net1165 net1166 net1167 net1168 net1169 net117 net1170 net1171 net1172 net1173 net1174 net1175 net1176 net1177 net1178 net1179 net118 net1180 net1181 net1182 net1183 net1184 net1185 net1186 net1187 net1188 net1189 net119 net1190 net1191 net1192 net1193 net1194 net1195 net1196 net1197 net1198 net1199 net12 net120 net1200 net1201 net1202 net1203 net1204 net1205 net1206 net1207 net1208 net1209 net121 net1210 net1211 net1212 net1213 net1214 net1215 net1216 net1217 net1218 net1219 net122 net1220 net1221 net1222 net1223 net1224 net1225 net1226 net1227 net1228 net1229 net123 net1230 net1231 net1232 net1233 net1234 net1235 net1236 net1237 net1238 net1239 net124 net1240 net1241 net1242 net1243 net1244 net1245 net1246 net1247 net1248 net1249 net125 net1250 net1251 net1252 net1253 net1254 net1255 net1256 net1257 net1258 net1259 net126 net1260 net1261 net1262 net1263 net1264 net1265 net1266 net1267 net1268 net1269 net127 net1270 net1271 net1272 net1273 net1274 net1275 net1276 net1277 net1278 net1279 net128 net1280 net1281 net1282 net1283 net1284 net1285 net1286 net1287 net1288 net1289 net129 net1290 net1291 net1292 net1293 net1294 net1295 net1296 net1297 net1298 net1299 net13 net130 net1300 net1301 net1302 net1303 net1304 net1305 net1306 net1307 net1308 net1309 net131 net1310 net1311 net1312 net1313 net1314 net1315 net1316 net1317 net1318 net1319 net132 net1320 net1321 net1322 net1323 net1324 net1325 net1326 net1327 net1328 net1329 net133 net1330 net1331 net1332 net1333 net1334 net1335 net1336 net1337 net1338 net1339 net134 net1340 net1341 net1342 net1343 net1344 net1345 net1346 net1347 net1348 net1349 net135 net1350 net1351 net1352 net1353 net1354 net1355 net1356 net1357 net1358 net1359 net136 net1360 net1361 net1362 net1363 net1364 net1365 net1366 net1367 net1368 net1369 net137 net1370 net1371 net1372 net1373 net1374 net1375 net1376 net1377 net1378 net1379 net138 net1380 net1381 net1382 net1383 net1384 net1385 net1386 net1387 net1388 net1389 net139 net1390 net1391 net1392 net1393 net1394 net1395 net1396 net1397 net1398 net1399 net14 net140 net1400 net1401 net1402 net1403 net1404 net1405 net1406 net1407 net1408 net1409 net141 net1410 net1411 net1412 net1413 net1414 net1415 net1416 net1417 net1418 net1419 net142 net1420 net1421 net1422 net1423 net1424 net1425 net1426 net1427 net1428 net1429 net143 net1430 net1431 net1432 net1433 net1434 net1435 net1436 net1437 net1438 net1439 net144 net1440 net1441 net1442 net1443 net1444 net1445 net1446 net1447 net1448 net1449 net145 net1450 net1451 net1452 net1453 net1454 net1455 net1456 net1457 net1458 net1459 net146 net1460 net1461 net1462 net1463 net1464 net1465 net1466 net1467 net1468 net1469 net147 net1470 net1471 net1472 net1473 net1474 net1475 net1476 net1477 net1478 net1479 net148 net1480 net1481 net1482 net1483 net1484 net1485 net1486 net1487 net1488 net1489 net149 net1490 net1491 net1492 net1493 net1494 net1495 net1496 net1497 net1498 net1499 net15 net150 net1500 net1501 net1502 net1503 net1504 net1505 net1506 net1507 net1508 net1509 net151 net1510 net1511 net1512 net1513 net1514 net1515 net1516 net1517 net1518 net1519 net152 net1520 net1521 net1522 net1523 net1524 net1525 net1526 net1527 net1528 net1529 net153 net1530 net1531 net1532 net154 net155 net156 net157 net158 net159 net16 net160 net161 net162 net163 net164 net165 net166 net167 net168 net169 net17 net170 net171 net172 net173 net174 net175 net176 net177 net178 net179 net18 net180 net181 net182 net183 net184 net185 net186 net187 net188 net189 net19 net190 net191 net192 net193 net194 net195 net196 net197 net198 net199 net2 net20 net200 net201 net202 net203 net204 net205 net206 net207 net208 net209 net21 net210 net211 net212 net213 net214 net215 net216 net217 net218 net219 net22 net220 net221 net222 net223 net224 net225 net226 net227 net228 net229 net23 net230 net231 net232 net233 net234 net235 net236 net237 net238 net239 net24 net240 net241 net242 net243 net244 net245 net246 net247 net248 net249 net25 net250 net251 net252 net253 net254 net255 net256 net257 net258 net259 net26 net260 net261 net262 net263 net264 net265 net266 net267 net268 net269 net27 net270 net271 net272 net273 net274 net275 net276 net277 net278 net279 net28 net280 net281 net282 net283 net284 net285 net286 net287 net288 net289 net29 net290 net291 net292 net293 net294 net295 net296 net297 net298 net299 net3 net30 net300 net301 net302 net303 net304 net305 net306 net307 net308 net309 net31 net310 net311 net312 net313 net314 net315 net316 net317 net318 net319 net32 net320 net321 net322 net323 net324 net325 net326 net327 net328 net329 net33 net330 net331 net332 net333 net334 net335 net336 net337 net338 net339 net34 net340 net341 net342 net343 net344 net345 net346 net347 net348 net349 net35 net350 net351 net352 net353 net354 net355 net356 net357 net358 net359 net36 net360 net361 net362 net363 net364 net365 net366 net367 net368 net369 net37 net370 net371 net372 net373 net374 net375 net376 net377 net378 net379 net38 net380 net381 net382 net383 net384 net385 net386 net387 net388 net389 net39 net390 net391 net392 net393 net394 net395 net396 net397 net398 net399 net4 net40 net400 net401 net402 net403 net404 net405 net406 net407 net408 net409 net41 net410 net411 net412 net413 net414 net415 net416 net417 net418 net419 net42 net420 net421 net422 net423 net424 net425 net426 net427 net428 net429 net43 net430 net431 net432 net433 net434 net435 net436 net437 net438 net439 net44 net440 net441 net442 net443 net444 net445 net446 net447 net448 net449 net45 net450 net451 net452 net453 net454 net455 net456 net457 net458 net459 net46 net460 net461 net462 net463 net464 net465 net466 net467 net468 net469 net47 net470 net471 net472 net473 net474 net475 net476 net477 net478 net479 net48 net480 net481 net482 net483 net484 net485 net486 net487 net488 net489 net49 net490 net491 net492 net493 net494 net495 net496 net497 net498 net499 net5 net50 net500 net501 net502 net503 net504 net505 net506 net507 net508 net509 net51 net510 net511 net512 net513 net514 net515 net516 net517 net518 net519 net52 net520 net521 net522 net523 net524 net525 net526 net527 net528 net529 net53 net530 net531 net532 net533 net534 net535 net536 net537 net538 net539 net54 net540 net541 net542 net543 net544 net545 net546 net547 net548 net549 net55 net550 net551 net552 net553 net554 net555 net556 net557 net558 net559 net56 net560 net561 net562 net563 net564 net565 net566 net567 net568 net569 net57 net570 net571 net572 net573 net574 net575 net576 net577 net578 net579 net58 net580 net581 net582 net583 net584 net585 net586 net587 net588 net589 net59 net590 net591 net592 net593 net594 net595 net596 net597 net598 net599 net6 net60 net600 net601 net602 net603 net604 net605 net606 net607 net608 net609 net61 net610 net611 net612 net613 net614 net615 net616 net617 net618 net619 net62 net620 net621 net622 net623 net624 net625 net626 net627 net628 net629 net63 net630 net631 net632 net633 net634 net635 net636 net637 net638 net639 net64 net640 net641 net642 net643 net644 net645 net646 net647 net648 net649 net65 net650 net651 net652 net653 net654 net655 net656 net657 net658 net659 net66 net660 net661 net662 net663 net664 net665 net666 net667 net668 net669 net67 net670 net671 net672 net673 net674 net675 net676 net677 net678 net679 net68 net680 net681 net682 net683 net684 net685 net686 net687 net688 net689 net69 net690 net691 net692 net693 net694 net695 net696 net697 net698 net699 net7 net70 net700 net701 net702 net703 net704 net705 net706 net707 net708 net709 net71 net710 net711 net712 net713 net714 net715 net716 net717 net718 net719 net72 net720 net721 net722 net723 net724 net725 net726 net727 net728 net729 net73 net730 net731 net732 net733 net734 net735 net736 net737 net738 net739 net74 net740 net741 net742 net743 net744 net745 net746 net747 net748 net749 net75 net750 net751 net752 net753 net754 net755 net756 net757 net758 net759 net76 net760 net761 net762 net763 net764 net765 net766 net767 net768 net769 net77 net770 net771 net772 net773 net774 net775 net776 net777 net778 net779 net78 net780 net781 net782 net783 net784 net785 net786 net787 net788 net789 net79 net790 net791 net792 net793 net794 net795 net796 net797 net798 net799 net8 net80 net800 net801 net802 net803 net804 net805 net806 net807 net808 net809 net81 net810 net811 net812 net813 net814 net815 net816 net817 net818 net819 net82 net820 net821 net822 net823 net824 net825 net826 net827 net828 net829 net83 net830 net831 net832 net833 net834 net835 net836 net837 net838 net839 net84 net840 net841 net842 net843 net844 net845 net846 net847 net848 net849 net85 net850 net851 net852 net853 net854 net855 net856 net857 net858 net859 net86 net860 net861 net862 net863 net864 net865 net866 net867 net868 net869 net87 net870 net871 net872 net873 net874 net875 net876 net877 net878 net879 net88 net880 net881 net882 net883 net884 net885 net886 net887 net888 net889 net89 net890 net891 net892 net893 net894 net895 net896 net897 net898 net899 net9 net90 net900 net901 net902 net903 net904 net905 net906 net907 net908 net909 net91 net910 net911 net912 net913 net914 net915 net916 net917 net918 net919 net92 net920 net921 net922 net923 net924 net925 net926 net927 net928 net929 net93 net930 net931 net932 net933 net934 net935 net936 net937 net938 net939 net94 net940 net941 net942 net943 net944 net945 net946 net947 net948 net949 net95 net950 net951 net952 net953 net954 net955 net956 net957 net958 net959 net96 net960 net961 net962 net963 net964 net965 net966 net967 net968 net969 net97 net970 net971 net972 net973 net974 net975 net976 net977 net978 net979 net98 net980 net981 net982 net983 net984 net985 net986 net987 net988 net989 net99 net990 net991 net992 net993 net994 net995 net996 net997 net998 net999</t>
  </si>
  <si>
    <t>A01 — AUS/NZ Track A RFIC</t>
  </si>
  <si>
    <t>A07_dcim_top.gds</t>
  </si>
  <si>
    <t>A44 JST</t>
  </si>
  <si>
    <t>trouper_top</t>
  </si>
  <si>
    <t>final/gds/trouper_top.gds</t>
  </si>
  <si>
    <t>gds/A40/trouper_top.gds</t>
  </si>
  <si>
    <t>Gotawa-Aryo/usb-audio-system-ic</t>
  </si>
  <si>
    <t>info/A43_info.yaml</t>
  </si>
  <si>
    <t>ic_top_usb_audio</t>
  </si>
  <si>
    <t>layout/gds/ic_top_usb_audio.gds</t>
  </si>
  <si>
    <t>gds/A43/ic_top_usb_audio.gds</t>
  </si>
  <si>
    <t>C01 Four-Topology MOSbius (C01)</t>
  </si>
  <si>
    <t>tritone4801/chipathon-2026-A44-SAR-ADC</t>
  </si>
  <si>
    <t>info/A44_info.yaml</t>
  </si>
  <si>
    <t>A13 Hungry Chippos [A13]</t>
  </si>
  <si>
    <t>A44_SAR_ADC_CORE_1000_R3_DUMMY_FILL_REPAIR</t>
  </si>
  <si>
    <t>SAR ADC</t>
  </si>
  <si>
    <t>gds/A44_SAR_ADC_CORE_1000.gds</t>
  </si>
  <si>
    <t>A54 Waibibabu</t>
  </si>
  <si>
    <t>gds/A44/A44_SAR_ADC_CORE_1000.gds</t>
  </si>
  <si>
    <t>farihahahmed/pico-soc</t>
  </si>
  <si>
    <t>A30 SILICON_RISC-V</t>
  </si>
  <si>
    <t>8:rst_n a_bit w_bit start cont P_minus1[0] P_minus1[1] P_minus1[2]</t>
  </si>
  <si>
    <t>info/A45_info.yaml</t>
  </si>
  <si>
    <t>1:clk</t>
  </si>
  <si>
    <t>Blocks</t>
  </si>
  <si>
    <t>3:y_bit done busy</t>
  </si>
  <si>
    <t>B26 Zonetic B26</t>
  </si>
  <si>
    <t>Pin order</t>
  </si>
  <si>
    <t>chip_top_full</t>
  </si>
  <si>
    <t>Placement</t>
  </si>
  <si>
    <t>A09_BV.gds</t>
  </si>
  <si>
    <t>gds/chip_top_full.gds</t>
  </si>
  <si>
    <t>Pin count</t>
  </si>
  <si>
    <t>B24 The Chip Wizards</t>
  </si>
  <si>
    <t>gds/A45/chip_top_full.gds</t>
  </si>
  <si>
    <t>Area</t>
  </si>
  <si>
    <t>block</t>
  </si>
  <si>
    <t>byanarvendy/chipathon-2026-adaptive-multi-trc-fault-injection-detection-core-circuit</t>
  </si>
  <si>
    <t>utilization</t>
  </si>
  <si>
    <t>D15 JustVibeAndTapeout (D15)</t>
  </si>
  <si>
    <t>info/A48_info.yaml</t>
  </si>
  <si>
    <t>trc_top</t>
  </si>
  <si>
    <t>E</t>
  </si>
  <si>
    <t>W12-W17</t>
  </si>
  <si>
    <t>gds/trc_top.gds</t>
  </si>
  <si>
    <t>350, 1475</t>
  </si>
  <si>
    <t>gds/A48/trc_top.gds</t>
  </si>
  <si>
    <t>arazax/chipathon26-SAR_ADC</t>
  </si>
  <si>
    <t>info/A49_info.yaml</t>
  </si>
  <si>
    <t>2:rst_n uart_rx</t>
  </si>
  <si>
    <t>8:uart_tx qspi_csn[0] qspi_csn[1] qspi_sck qspi_io[0] qspi_io[1] qspi_io[2] qspi_io[3]</t>
  </si>
  <si>
    <t>A10_A.gds</t>
  </si>
  <si>
    <t>sar_adc_top</t>
  </si>
  <si>
    <t>layout/sar_adc/sar_adc_top.gds</t>
  </si>
  <si>
    <t>gds/A49/sar_adc_top.gds</t>
  </si>
  <si>
    <t>A52</t>
  </si>
  <si>
    <t>rafiihsanalfathin123/low-power-12b-first-order-delta-sigma-adc</t>
  </si>
  <si>
    <t>info/A52_info.yaml</t>
  </si>
  <si>
    <t>D</t>
  </si>
  <si>
    <t>W18-W22,N01-N05</t>
  </si>
  <si>
    <t>350, 2035</t>
  </si>
  <si>
    <t>fullydiffamp$2</t>
  </si>
  <si>
    <t>src/layout/fullydiffamp/fullydiffamp_routed.gds</t>
  </si>
  <si>
    <t>CH</t>
  </si>
  <si>
    <t>src/layout/fullydiffamp/fullydiffamp_routed.gds not found in rafiihsanalfathin123/low-power-12b-first-order-delta-sigma-adc on the main branch</t>
  </si>
  <si>
    <t>adulu-bang/chipathon-2026-gf180mcu-padring</t>
  </si>
  <si>
    <t>info/A53_info.yaml</t>
  </si>
  <si>
    <t>6:clk rst_n sclk mosi cs_n miso</t>
  </si>
  <si>
    <t>grouper_soc_chip_core.gds</t>
  </si>
  <si>
    <t>CV</t>
  </si>
  <si>
    <t>N06-N11</t>
  </si>
  <si>
    <t>910, 1475</t>
  </si>
  <si>
    <t>A53_trng_top</t>
  </si>
  <si>
    <t>gds/A53_trng_top.gds</t>
  </si>
  <si>
    <t>BV</t>
  </si>
  <si>
    <t>W12-W22,N01-N05</t>
  </si>
  <si>
    <t>gds/A53/A53_trng_top.gds</t>
  </si>
  <si>
    <t>hankchen0326/A54_LSTM-based_text_recognition_ML_accelerator_chipathon-2026-gf180mcu</t>
  </si>
  <si>
    <t>BH</t>
  </si>
  <si>
    <t>W18-W22,N01-N11</t>
  </si>
  <si>
    <t>info/A54_info.yaml</t>
  </si>
  <si>
    <t>A</t>
  </si>
  <si>
    <t>W12-W22,N01-N11</t>
  </si>
  <si>
    <t>lstm16x_top</t>
  </si>
  <si>
    <t>gds/lstm16x_top.gds</t>
  </si>
  <si>
    <t>gds/A54/lstm16x_top.gds</t>
  </si>
  <si>
    <t>ACV</t>
  </si>
  <si>
    <t>mpa216/Deep-Learning-Accelerator-DLA-Engine-From-CNN-to-GenAI-SNN</t>
  </si>
  <si>
    <t>W12-W22,N01-N16</t>
  </si>
  <si>
    <t>info/A56_info.yaml</t>
  </si>
  <si>
    <t>1:uart_rx</t>
  </si>
  <si>
    <t>2:clk rst_n</t>
  </si>
  <si>
    <t>dla_engine_chip</t>
  </si>
  <si>
    <t>17:uart_tx *gpio_0 *gpio_1 *gpio_2 *gpio_3 *gpio_4 *gpio_5 *gpio_6 *gpio_7 *gpio_8 *gpio_9 *gpio_10 *gpio_11 *gpio_12 *gpio_13 *gpio_14 *gpio_15</t>
  </si>
  <si>
    <t>ACH</t>
  </si>
  <si>
    <t>W07-W22,N01-N11</t>
  </si>
  <si>
    <t>350, 910</t>
  </si>
  <si>
    <t>128:gpio_0_bidir_cs gpio_0_bidir_ie gpio_0_bidir_in gpio_0_bidir_oe gpio_0_bidir_out gpio_0_bidir_pd gpio_0_bidir_pu gpio_0_bidir_sl gpio_10_bidir_cs gpio_10_bidir_ie gpio_10_bidir_in gpio_10_bidir_oe gpio_10_bidir_out gpio_10_bidir_pd gpio_10_bidir_pu gpio_10_bidir_sl gpio_11_bidir_cs gpio_11_bidir_ie gpio_11_bidir_in gpio_11_bidir_oe gpio_11_bidir_out gpio_11_bidir_pd gpio_11_bidir_pu gpio_11_bidir_sl gpio_12_bidir_cs gpio_12_bidir_ie gpio_12_bidir_in gpio_12_bidir_oe gpio_12_bidir_out gpio_12_bidir_pd gpio_12_bidir_pu gpio_12_bidir_sl gpio_13_bidir_cs gpio_13_bidir_ie gpio_13_bidir_in gpio_13_bidir_oe gpio_13_bidir_out gpio_13_bidir_pd gpio_13_bidir_pu gpio_13_bidir_sl gpio_14_bidir_cs gpio_14_bidir_ie gpio_14_bidir_in gpio_14_bidir_oe gpio_14_bidir_out gpio_14_bidir_pd gpio_14_bidir_pu gpio_14_bidir_sl gpio_15_bidir_cs gpio_15_bidir_ie gpio_15_bidir_in gpio_15_bidir_oe gpio_15_bidir_out gpio_15_bidir_pd gpio_15_bidir_pu gpio_15_bidir_sl gpio_1_bidir_cs gpio_1_bidir_ie gpio_1_bidir_in gpio_1_bidir_oe gpio_1_bidir_out gpio_1_bidir_pd gpio_1_bidir_pu gpio_1_bidir_sl gpio_2_bidir_cs gpio_2_bidir_ie gpio_2_bidir_in gpio_2_bidir_oe gpio_2_bidir_out gpio_2_bidir_pd gpio_2_bidir_pu gpio_2_bidir_sl gpio_3_bidir_cs gpio_3_bidir_ie gpio_3_bidir_in gpio_3_bidir_oe gpio_3_bidir_out gpio_3_bidir_pd gpio_3_bidir_pu gpio_3_bidir_sl gpio_4_bidir_cs gpio_4_bidir_ie gpio_4_bidir_in gpio_4_bidir_oe gpio_4_bidir_out gpio_4_bidir_pd gpio_4_bidir_pu gpio_4_bidir_sl gpio_5_bidir_cs gpio_5_bidir_ie gpio_5_bidir_in gpio_5_bidir_oe gpio_5_bidir_out gpio_5_bidir_pd gpio_5_bidir_pu gpio_5_bidir_sl gpio_6_bidir_cs gpio_6_bidir_ie gpio_6_bidir_in gpio_6_bidir_oe gpio_6_bidir_out gpio_6_bidir_pd gpio_6_bidir_pu gpio_6_bidir_sl gpio_7_bidir_cs gpio_7_bidir_ie gpio_7_bidir_in gpio_7_bidir_oe gpio_7_bidir_out gpio_7_bidir_pd gpio_7_bidir_pu gpio_7_bidir_sl gpio_8_bidir_cs gpio_8_bidir_ie gpio_8_bidir_in gpio_8_bidir_oe gpio_8_bidir_out gpio_8_bidir_pd gpio_8_bidir_pu gpio_8_bidir_sl gpio_9_bidir_cs gpio_9_bidir_ie gpio_9_bidir_in gpio_9_bidir_oe gpio_9_bidir_out gpio_9_bidir_pd gpio_9_bidir_pu gpio_9_bidir_sl</t>
  </si>
  <si>
    <t>gds/dla_engine_chip.gds</t>
  </si>
  <si>
    <t>missing gpio_0_IN|gpio_0_OUT; missing gpio_1_IN|gpio_1_OUT; missing gpio_2_IN|gpio_2_OUT; missing gpio_3_IN|gpio_3_OUT; missing gpio_4_IN|gpio_4_OUT; missing gpio_5_IN|gpio_5_OUT; missing gpio_6_IN|gpio_6_OUT; missing gpio_7_IN|gpio_7_OUT; missing gpio_8_IN|gpio_8_OUT; missing gpio_9_IN|gpio_9_OUT; missing gpio_10_IN|gpio_10_OUT; missing gpio_11_IN|gpio_11_OUT; missing gpio_12_IN|gpio_12_OUT; missing gpio_13_IN|gpio_13_OUT; missing gpio_14_IN|gpio_14_OUT; missing gpio_15_IN|gpio_15_OUT</t>
  </si>
  <si>
    <t>adc_chip_top.gds</t>
  </si>
  <si>
    <t>ACE</t>
  </si>
  <si>
    <t>W07-W22,N01-N16</t>
  </si>
  <si>
    <t>gds/A56/dla_engine_chip.gds</t>
  </si>
  <si>
    <t>A58</t>
  </si>
  <si>
    <t>ral298/convChip_chipaton</t>
  </si>
  <si>
    <t>info/A58_info.yaml</t>
  </si>
  <si>
    <t>lvs_config.json&gt;</t>
  </si>
  <si>
    <t>ACE2</t>
  </si>
  <si>
    <t>W07-W22,N01-N16,E16-E01,S22-S07</t>
  </si>
  <si>
    <t>350, 350</t>
  </si>
  <si>
    <t>lvs_config.json&gt; not found in ral298/convChip_chipaton on the main branch</t>
  </si>
  <si>
    <t>A59</t>
  </si>
  <si>
    <t>mena-04/FalconFoundry</t>
  </si>
  <si>
    <t>info.yaml not found in mena-04/FalconFoundry on the main branch</t>
  </si>
  <si>
    <t>A61</t>
  </si>
  <si>
    <t>valerineabc/chipathon-2026-wwc</t>
  </si>
  <si>
    <t>0,0-560,560 &amp; 1675,1675-2235,2235</t>
  </si>
  <si>
    <t>info.yaml not found in valerineabc/chipathon-2026-wwc on the main branch</t>
  </si>
  <si>
    <t>1:VIN</t>
  </si>
  <si>
    <t>1:RST_N</t>
  </si>
  <si>
    <t>1:CLK</t>
  </si>
  <si>
    <t>9:EOC BIT_0 BIT_1 BIT_2 BIT_3 BIT_4 BIT_5 BIT_6 BIT_7</t>
  </si>
  <si>
    <t>Free-95/OpenTarget-I3C</t>
  </si>
  <si>
    <t>info/A63_info.yaml</t>
  </si>
  <si>
    <r>
      <rPr/>
      <t xml:space="preserve">See </t>
    </r>
    <r>
      <rPr>
        <color rgb="FF1155CC"/>
        <u/>
      </rPr>
      <t>Chipathon 2026 padframe proposal</t>
    </r>
    <r>
      <rPr/>
      <t xml:space="preserve"> for details</t>
    </r>
  </si>
  <si>
    <t>spi_opentarget_i3c_top</t>
  </si>
  <si>
    <t>gds/spi_opentarget_i3c_top.gds</t>
  </si>
  <si>
    <t>gds/A63/spi_opentarget_i3c_top.gds</t>
  </si>
  <si>
    <t>estevao741/chipathon-2026-fdda</t>
  </si>
  <si>
    <t>info/A64_info.yaml</t>
  </si>
  <si>
    <t>fdda_top</t>
  </si>
  <si>
    <t>src/gds/fdda_top.gds</t>
  </si>
  <si>
    <t>11:*W09_NC *W10_NC *W12_NC *W13_NC *W15_NC *W16_NC *N01_NC *N02_NC *N03_NC *N04_NC *N13_NC</t>
  </si>
  <si>
    <t>6:*rst_n *a_valid_i *a_last_i *b_valid_i *b_last_i *out_ready_i</t>
  </si>
  <si>
    <t>1:*clk</t>
  </si>
  <si>
    <t>gds/A64/fdda_top.gds</t>
  </si>
  <si>
    <t>12:*a_ready_o *b_ready_o *data[0] *data[1] *data[2] *data[3] *data[4] *data[5] *data[6] *data[7] *out_valid_o *out_last_o</t>
  </si>
  <si>
    <t>20:analog_PAD bidir_PAD[0] bidir_PAD[10] bidir_PAD[11] bidir_PAD[1] bidir_PAD[2] bidir_PAD[3] bidir_PAD[4] bidir_PAD[5] bidir_PAD[6] bidir_PAD[7] bidir_PAD[8] bidir_PAD[9] clk_PAD input_PAD[0] input_PAD[1] input_PAD[2] input_PAD[3] input_PAD[4] rst_n_PAD</t>
  </si>
  <si>
    <t>missing W09_NC; missing W10_NC; missing rst_n; missing W12_NC; missing W13_NC; missing clk; missing W15_NC; missing W16_NC; missing a_valid_i; missing a_last_i; missing a_ready_o_IN|a_ready_o_OUT; missing b_valid_i; missing b_last_i; missing b_ready_o_IN|b_ready_o_OUT; missing N01_NC; missing N02_NC; missing N03_NC; missing N04_NC; missing data_IN[0]|data_OUT[0]; missing data_IN[1]|data_OUT[1]; missing data_IN[2]|data_OUT[2]; missing data_IN[3]|data_OUT[3]; missing data_IN[4]|data_OUT[4]; missing data_IN[5]|data_OUT[5]; missing data_IN[6]|data_OUT[6]; missing data_IN[7]|data_OUT[7]; missing N13_NC; missing out_valid_o_IN|out_valid_o_OUT; missing out_last_o_IN|out_last_o_OUT; missing out_ready_i</t>
  </si>
  <si>
    <t>yohanesstef/synchronos-chipathon-2026</t>
  </si>
  <si>
    <t>system_top.gds</t>
  </si>
  <si>
    <t>info/A66_info.yaml</t>
  </si>
  <si>
    <t>PLL_top</t>
  </si>
  <si>
    <t>designs/libs/gds_archive/PLL_top.gds</t>
  </si>
  <si>
    <t>gds/A66/PLL_top.gds</t>
  </si>
  <si>
    <t>MarcoYeremia/ASCON-AEAD-128-for-power-constraint-embedded-system</t>
  </si>
  <si>
    <t>info/A68_info.yaml</t>
  </si>
  <si>
    <t>ascon_top</t>
  </si>
  <si>
    <t>gds/ascon_top.gds</t>
  </si>
  <si>
    <t>1:*vdd</t>
  </si>
  <si>
    <t>1:*vss</t>
  </si>
  <si>
    <t>gds/A68/ascon_top.gds</t>
  </si>
  <si>
    <t>6:clk rst_n uart_rx mosi sck cs_n</t>
  </si>
  <si>
    <t>1:miso</t>
  </si>
  <si>
    <t>2:VDD VSS</t>
  </si>
  <si>
    <t>LonghornSilicon/gf180-longhorn-tiu</t>
  </si>
  <si>
    <t>missing vss; missing vdd</t>
  </si>
  <si>
    <t>sar_adc_10b.gds</t>
  </si>
  <si>
    <t>info/A71_info.yaml</t>
  </si>
  <si>
    <t>lambda_kv_coproc</t>
  </si>
  <si>
    <t>gds/lambda_kv_coproc.gds</t>
  </si>
  <si>
    <t>gds/A71/lambda_kv_coproc.gds</t>
  </si>
  <si>
    <t>JorgeMarinN/SSCS-Chipathon-2026_ABC123-team</t>
  </si>
  <si>
    <t>info/B02_info.yaml</t>
  </si>
  <si>
    <t>ABC123_SDC/design_data/lvs/lvs_config.json</t>
  </si>
  <si>
    <t>ABC123_SDC</t>
  </si>
  <si>
    <t>ABC123_SDC/design_data/gds/ABC123_SDC.gds</t>
  </si>
  <si>
    <t>gds/B02/ABC123_SDC.gds</t>
  </si>
  <si>
    <t>A12: missing gpio_0_IN|gpio_0_OUT</t>
  </si>
  <si>
    <t>dfirman15/AURA-Event-Driven-Mixed-Signal-ASIC-for-Acoustic-Pattern-Detection</t>
  </si>
  <si>
    <t>A12: missing gpio_1_IN|gpio_1_OUT</t>
  </si>
  <si>
    <t>A12: missing gpio_2_IN|gpio_2_OUT</t>
  </si>
  <si>
    <t>info/B04_info.yaml</t>
  </si>
  <si>
    <t>A12: missing gpio_3_IN|gpio_3_OUT</t>
  </si>
  <si>
    <t>A12: missing gpio_4_IN|gpio_4_OUT</t>
  </si>
  <si>
    <t>A12: missing gpio_5_IN|gpio_5_OUT</t>
  </si>
  <si>
    <t>A12: missing gpio_6_IN|gpio_6_OUT</t>
  </si>
  <si>
    <t>B04_TOP</t>
  </si>
  <si>
    <t>A12: missing gpio_7_IN|gpio_7_OUT</t>
  </si>
  <si>
    <t>A12: missing gpio_8_IN|gpio_8_OUT</t>
  </si>
  <si>
    <t>gds/B04_TOP.gds</t>
  </si>
  <si>
    <t>A12: missing gpio_9_IN|gpio_9_OUT</t>
  </si>
  <si>
    <t>A12: missing gpio_10_IN|gpio_10_OUT</t>
  </si>
  <si>
    <t>3:Vin VRP VRN</t>
  </si>
  <si>
    <t>gds/B04/B04_TOP.gds</t>
  </si>
  <si>
    <t>2:CLK SAMP</t>
  </si>
  <si>
    <t>A12: missing gpio_11_IN|gpio_11_OUT</t>
  </si>
  <si>
    <t>11:B[9] B[8] B[7] B[6] B[5] B[4] B[3] B[2] B[1] B[0] eoc</t>
  </si>
  <si>
    <t>A12: missing gpio_12_IN|gpio_12_OUT</t>
  </si>
  <si>
    <t>B05</t>
  </si>
  <si>
    <t>TOP_LAYOUT 'sar_adc_10b' has no top-level shapes on layer 0/datatype 0</t>
  </si>
  <si>
    <t>A12: missing gpio_13_IN|gpio_13_OUT</t>
  </si>
  <si>
    <t>radityankn/acoustic-ranger-dvl-processor</t>
  </si>
  <si>
    <t>bgr_top_firstcut.gds</t>
  </si>
  <si>
    <t>A12: missing gpio_14_IN|gpio_14_OUT</t>
  </si>
  <si>
    <t>A12: missing gpio_15_IN|gpio_15_OUT</t>
  </si>
  <si>
    <t>info/B05_info.yaml</t>
  </si>
  <si>
    <t>A19: missing W09_NC</t>
  </si>
  <si>
    <t>A19: missing W10_NC</t>
  </si>
  <si>
    <t>A19: missing rst_n</t>
  </si>
  <si>
    <t>A01_topcell</t>
  </si>
  <si>
    <t>A19: missing W12_NC</t>
  </si>
  <si>
    <t>A19: missing W13_NC</t>
  </si>
  <si>
    <t>A19: missing clk</t>
  </si>
  <si>
    <t>gds/A01_topcell.gds</t>
  </si>
  <si>
    <t>A19: missing W15_NC</t>
  </si>
  <si>
    <t>A19: missing W16_NC</t>
  </si>
  <si>
    <t>gds/A01_topcell.gds not found in radityankn/acoustic-ranger-dvl-processor on the main branch</t>
  </si>
  <si>
    <t>A19: missing a_valid_i</t>
  </si>
  <si>
    <t>A19: missing a_last_i</t>
  </si>
  <si>
    <t>B07</t>
  </si>
  <si>
    <t>AutoMOS-project/AutoMOS-chipathon2026</t>
  </si>
  <si>
    <t>A19: missing a_ready_o_IN|a_ready_o_OUT</t>
  </si>
  <si>
    <t>A19: missing b_valid_i</t>
  </si>
  <si>
    <t>info/B07_info.yaml</t>
  </si>
  <si>
    <t>A19: missing b_last_i</t>
  </si>
  <si>
    <t>A19: missing b_ready_o_IN|b_ready_o_OUT</t>
  </si>
  <si>
    <t>A19: missing N01_NC</t>
  </si>
  <si>
    <t>A19: missing N02_NC</t>
  </si>
  <si>
    <t>lvs_config.json not found in AutoMOS-project/AutoMOS-chipathon2026 on the main branch</t>
  </si>
  <si>
    <t>A19: missing N03_NC</t>
  </si>
  <si>
    <t>A19: missing N04_NC</t>
  </si>
  <si>
    <t>A19: missing data_IN[0]|data_OUT[0]</t>
  </si>
  <si>
    <t>Varchaswin/Biosignal-Foundry</t>
  </si>
  <si>
    <t>A19: missing data_IN[1]|data_OUT[1]</t>
  </si>
  <si>
    <t>info/B08_info.yaml</t>
  </si>
  <si>
    <t>A19: missing data_IN[2]|data_OUT[2]</t>
  </si>
  <si>
    <t>info.yaml does not contain a pin list (expected 'pins' or 'project.pins'); TOP_LAYOUT 'bgr_top_firstcut' has no top-level shapes on layer 0/datatype 0</t>
  </si>
  <si>
    <t>A19: missing data_IN[3]|data_OUT[3]</t>
  </si>
  <si>
    <t>qspi_chip_top.gds</t>
  </si>
  <si>
    <t>TOP</t>
  </si>
  <si>
    <t>A19: missing data_IN[4]|data_OUT[4]</t>
  </si>
  <si>
    <t>A19: missing data_IN[5]|data_OUT[5]</t>
  </si>
  <si>
    <t>gds/TOP/TOP.gds</t>
  </si>
  <si>
    <t>A19: missing data_IN[6]|data_OUT[6]</t>
  </si>
  <si>
    <t>A19: missing data_IN[7]|data_OUT[7]</t>
  </si>
  <si>
    <t>A19: missing N13_NC</t>
  </si>
  <si>
    <t>gds/B08/TOP.gds</t>
  </si>
  <si>
    <t>A19: missing out_valid_o_IN|out_valid_o_OUT</t>
  </si>
  <si>
    <t>A19: missing out_last_o_IN|out_last_o_OUT</t>
  </si>
  <si>
    <t>guptasou03/B11_CuriousIC_BMS</t>
  </si>
  <si>
    <t>A19: missing out_ready_i</t>
  </si>
  <si>
    <t>A20: missing vss</t>
  </si>
  <si>
    <t>info/B11_info.yaml</t>
  </si>
  <si>
    <t>A20: missing vdd</t>
  </si>
  <si>
    <t>A23: TOP_LAYOUT 'sar_adc_10b' has no top-level shapes on layer 0/datatype 0</t>
  </si>
  <si>
    <t>A28: info.yaml does not contain a pin list (expected 'pins' or 'project.pins')</t>
  </si>
  <si>
    <t>A28: TOP_LAYOUT 'bgr_top_firstcut' has no top-level shapes on layer 0/datatype 0</t>
  </si>
  <si>
    <t>B11_CuriousIC_DryRun_Top</t>
  </si>
  <si>
    <t>A40: missing PSRAM_SIO_0_IN|PSRAM_SIO_0_OUT</t>
  </si>
  <si>
    <t>A40: missing PSRAM_SIO_1_IN|PSRAM_SIO_1_OUT</t>
  </si>
  <si>
    <t>A40: missing PSRAM_SIO_2_IN|PSRAM_SIO_2_OUT</t>
  </si>
  <si>
    <t>B11_CuriousIC_DryRun_Top_26Aug.gds</t>
  </si>
  <si>
    <t>A40: missing PSRAM_SIO_3_IN|PSRAM_SIO_3_OUT</t>
  </si>
  <si>
    <t>A43: missing AUDIO_OUT_L</t>
  </si>
  <si>
    <t>gds/B11/B11_CuriousIC_DryRun_Top_26Aug.gds</t>
  </si>
  <si>
    <t>A43: missing DAC_FB_IN_L</t>
  </si>
  <si>
    <t>A49: no layer 0/datatype 0 exists in GDS for TOP_LAYOUT 'sar_adc_top'</t>
  </si>
  <si>
    <t>A63: missing sda_pad_IN|sda_pad_OUT</t>
  </si>
  <si>
    <t>valrek-sol/analog-perceptron-gf180mcu</t>
  </si>
  <si>
    <t>A66: missing CK0_IN|CK0_OUT</t>
  </si>
  <si>
    <t>A66: missing CK90_IN|CK90_OUT</t>
  </si>
  <si>
    <t>info/B12_info.yaml</t>
  </si>
  <si>
    <t>A66: missing CK180_IN|CK180_OUT</t>
  </si>
  <si>
    <t>1:reset</t>
  </si>
  <si>
    <t>A66: missing CK270_IN|CK270_OUT</t>
  </si>
  <si>
    <t>2:uart_rx spi_miso</t>
  </si>
  <si>
    <t>12:spi_data0 spi_data1 spi_data2 spi_data3 spi_clk_out spi_flash_select spi_ram_a_select uart_tx spi_select disp_spi_clk_out spi_mosi spi_dc</t>
  </si>
  <si>
    <t>A66: missing Fref</t>
  </si>
  <si>
    <t>A66: missing Vctrl</t>
  </si>
  <si>
    <t>perceptron</t>
  </si>
  <si>
    <t>chip_core.gds</t>
  </si>
  <si>
    <t>A66: missing SDA</t>
  </si>
  <si>
    <t>A66: missing SCL</t>
  </si>
  <si>
    <t>A66: missing vdd</t>
  </si>
  <si>
    <t>A66: missing vss</t>
  </si>
  <si>
    <t>B02: TOP_LAYOUT cell 'ABC123_SDC' not found in GDS</t>
  </si>
  <si>
    <t>B08: pin entry 5 ('CLK') has unsupported pad type 'digital'</t>
  </si>
  <si>
    <t>gds/perceptron.gds</t>
  </si>
  <si>
    <t>B11: missing B11_BMS_DVSS</t>
  </si>
  <si>
    <t>B11: missing B11_BMS_CLKIN</t>
  </si>
  <si>
    <t>B11: missing B11_BMS_CLK_FCHOP</t>
  </si>
  <si>
    <t>B11: missing B11_BMS_DVDD</t>
  </si>
  <si>
    <t>B11: missing B11_BMS_VINN_CH1</t>
  </si>
  <si>
    <t>gds/B12/perceptron.gds</t>
  </si>
  <si>
    <t>B11: missing B11_BMS_VINP_CH1</t>
  </si>
  <si>
    <t>B11: missing B11_BMS_VREFP</t>
  </si>
  <si>
    <t>B11: missing B11_BMS_IBIAS_5u</t>
  </si>
  <si>
    <t>lucaalsi/B14-MX_UPP_INAOE</t>
  </si>
  <si>
    <t>B11: missing B11_BMS_VCM</t>
  </si>
  <si>
    <t>B11: missing B11_BMS_VINN_CH2_IN|B11_BMS_VINN_CH2_OUT</t>
  </si>
  <si>
    <t>B11: missing B11_BMS_VINP_CH2_IN|B11_BMS_VINP_CH2_OUT</t>
  </si>
  <si>
    <t>info/B14_info.yaml</t>
  </si>
  <si>
    <t>B11: missing B11_BMS_EN_EIS</t>
  </si>
  <si>
    <t>B11: missing B11_BMS_EIS_RESET</t>
  </si>
  <si>
    <t>B11: missing B11_BMS_AVSS</t>
  </si>
  <si>
    <t>B11: missing B11_BMS_AVDD</t>
  </si>
  <si>
    <t>B11: missing B11_BMS_CH_SEL</t>
  </si>
  <si>
    <t>B11: missing B11_BMS_ATB_SEL_0</t>
  </si>
  <si>
    <t>B11: missing B11_BMS_ATB_SEL_1</t>
  </si>
  <si>
    <t>B11: missing B11_BMS_D_EIS</t>
  </si>
  <si>
    <t>B11: missing B11_BMS_CLK_EIS</t>
  </si>
  <si>
    <t>B14_A</t>
  </si>
  <si>
    <t>B11: missing B11_BMS_ATB_IA_ADC</t>
  </si>
  <si>
    <t>B11: missing B11_BMS_DOUT</t>
  </si>
  <si>
    <t>gds/B14_A.gds</t>
  </si>
  <si>
    <t>B23: missing AGND</t>
  </si>
  <si>
    <t>B23: missing AVDD</t>
  </si>
  <si>
    <t>gds/B14/B14_A.gds</t>
  </si>
  <si>
    <t>B23: missing DVDD</t>
  </si>
  <si>
    <t>B23: missing DGND</t>
  </si>
  <si>
    <t>B23: missing CLK</t>
  </si>
  <si>
    <t>llhtimlam/Probton</t>
  </si>
  <si>
    <t>B23: missing RESET</t>
  </si>
  <si>
    <t>B23: missing ENABLE</t>
  </si>
  <si>
    <t>B23: missing TEST_SEL_2</t>
  </si>
  <si>
    <t>B23: missing TEST_SEL_1</t>
  </si>
  <si>
    <t>info/B18_info.yaml</t>
  </si>
  <si>
    <t>B23: missing TEST_SEL_0</t>
  </si>
  <si>
    <t>B23: missing DATA_OUT_IN|DATA_OUT_OUT</t>
  </si>
  <si>
    <t>B23: missing DATA_VALID_IN|DATA_VALID_OUT</t>
  </si>
  <si>
    <t>B23: missing TEST_ANALOG_IN|TEST_ANALOG_OUT</t>
  </si>
  <si>
    <t>B23: missing TEST_OUT_IN|TEST_OUT_OUT</t>
  </si>
  <si>
    <t>9:clk input_in_0 input_in_1 input_in_2 input_in_3 input_in_4 input_in_5 input_in_6 input_in_7</t>
  </si>
  <si>
    <t>B24: group 2 missing ground: VDD HPF_outp HPF_outn HPF_inp HPF_inn Vb1 Vb2 Vb3 Vb4 LPF_outp LPF_outn LPF_inp LPF_inn</t>
  </si>
  <si>
    <t>4:output_out_0 output_out_1 output_out_2 output_out_3</t>
  </si>
  <si>
    <t>B24: TOP_LAYOUT cell 'B24_topcell' not found in GDS</t>
  </si>
  <si>
    <t>B18_Probton</t>
  </si>
  <si>
    <t>B29: pin entry 9 ('Vmem') has unsupported pad type 'output'</t>
  </si>
  <si>
    <t>B29: TOP_LAYOUT cell 'TopFinal' not found in GDS</t>
  </si>
  <si>
    <t>C04: analog pin entry 16 ('SCDAC2_OUT') does not specify whether secondary ESD protection is used</t>
  </si>
  <si>
    <t>C04: Stream has unknown format: /Users/kanobailey/chipathon/2026/gds/C04/DUT.gds in Layout.read</t>
  </si>
  <si>
    <t>integration_final.gds</t>
  </si>
  <si>
    <t>gds/B18_Probton.gds</t>
  </si>
  <si>
    <t>C05: info.yaml does not contain a pin list (expected 'pins' or 'project.pins')</t>
  </si>
  <si>
    <t>C05: TOP_LAYOUT cell 'ota_gds' not found in GDS</t>
  </si>
  <si>
    <t>D04: missing vss</t>
  </si>
  <si>
    <t>D04: missing uart_tx_IN|uart_tx_OUT</t>
  </si>
  <si>
    <t>gds/B18/B18_Probton.gds</t>
  </si>
  <si>
    <t>D04: missing vdd</t>
  </si>
  <si>
    <t>D05: missing VCC</t>
  </si>
  <si>
    <t>Jimena0601/-Track--B-Bandgap-Temp-Sensor</t>
  </si>
  <si>
    <t>info/B23_info.yaml</t>
  </si>
  <si>
    <t>B23_TEMPX_DryRun_Top</t>
  </si>
  <si>
    <t>B23_TempX.gds</t>
  </si>
  <si>
    <t>gds/B23/B23_TempX.gds</t>
  </si>
  <si>
    <t>jacklzhu7/chipathon-2026-ppg</t>
  </si>
  <si>
    <t>info/B24_info.yaml</t>
  </si>
  <si>
    <t>3:i_clk i_rst_n i_uart_rx</t>
  </si>
  <si>
    <t>B24_topcell</t>
  </si>
  <si>
    <t>1:o_uart_tx</t>
  </si>
  <si>
    <t>B24_topcell.gds</t>
  </si>
  <si>
    <t>trouper_top.gds</t>
  </si>
  <si>
    <t>gds/B24/B24_topcell.gds</t>
  </si>
  <si>
    <t>AnBuiUCI/sscs-2026-zotnetic</t>
  </si>
  <si>
    <t>info/B26_info.yaml</t>
  </si>
  <si>
    <t>GRADIENT_NAV2</t>
  </si>
  <si>
    <t>FINAL/openroad/out_v2_GRADIENT_NAV2/GRADIENT_NAV2_filled.gds</t>
  </si>
  <si>
    <t>gds/B26/GRADIENT_NAV2_filled.gds</t>
  </si>
  <si>
    <t>Andika236/Adaptive-Neuromorphic-E-Skin-Readout-IC</t>
  </si>
  <si>
    <t>info/B29_info.yaml</t>
  </si>
  <si>
    <t>TopFinal</t>
  </si>
  <si>
    <t>TopFinal.gds</t>
  </si>
  <si>
    <t>10:IQ_DATA_I_0 IQ_DATA_Q_0 IQ_DATA_I_1 IQ_DATA_Q_1 IQ_DATA_I_2 IQ_DATA_Q_2 IQ_DATA_I_3 IQ_DATA_Q_3 IQ_CLK SPI_MOSI</t>
  </si>
  <si>
    <t>3:RESETB HOST_CS SPI_SCK</t>
  </si>
  <si>
    <t>gds/B29/TopFinal.gds</t>
  </si>
  <si>
    <t>9:REMOD_A_I REMOD_A_Q PSRAM_CE_N *PSRAM_SIO_0 *PSRAM_SIO_1 *PSRAM_SIO_2 *PSRAM_SIO_3 SPI_MISO IRQ_OUT</t>
  </si>
  <si>
    <t>1:PSRAM_SCK</t>
  </si>
  <si>
    <t>40:GRP_ADDR_0 GRP_ADDR_1 GRP_ADDR_2 GRP_ADDR_3 GRP_ADDR_4 GRP_ADDR_5 GRP_ADDR_6 GRP_ADDR_7 GRP_RDATA_0 GRP_RDATA_1 GRP_RDATA_2 GRP_RDATA_3 GRP_RDATA_4 GRP_RDATA_5 GRP_RDATA_6 GRP_RDATA_7 GRP_RE GRP_READY GRP_WDATA_0 GRP_WDATA_1 GRP_WDATA_2 GRP_WDATA_3 GRP_WDATA_4 GRP_WDATA_5 GRP_WDATA_6 GRP_WDATA_7 GRP_WE IRQ_GROUPER PSRAM_SIO_IN_0 PSRAM_SIO_IN_1 PSRAM_SIO_IN_2 PSRAM_SIO_IN_3 PSRAM_SIO_OE_0 PSRAM_SIO_OE_1 PSRAM_SIO_OE_2 PSRAM_SIO_OE_3 PSRAM_SIO_OUT_0 PSRAM_SIO_OUT_1 PSRAM_SIO_OUT_2 PSRAM_SIO_OUT_3</t>
  </si>
  <si>
    <t>missing PSRAM_SIO_0_IN|PSRAM_SIO_0_OUT; missing PSRAM_SIO_1_IN|PSRAM_SIO_1_OUT; missing PSRAM_SIO_2_IN|PSRAM_SIO_2_OUT; missing PSRAM_SIO_3_IN|PSRAM_SIO_3_OUT</t>
  </si>
  <si>
    <t>elijohnsonn/Four-Topology-MOSbius</t>
  </si>
  <si>
    <t>ic_top_usb_audio.gds</t>
  </si>
  <si>
    <t>info/C01_info.yaml</t>
  </si>
  <si>
    <t>DRC_dry_run/lvs_config.json</t>
  </si>
  <si>
    <t>DUT</t>
  </si>
  <si>
    <t>designs/libs/core_tb/layout/DUT.gds</t>
  </si>
  <si>
    <t>gds/C01/DUT.gds</t>
  </si>
  <si>
    <t>yutaka-kotani-stj/2026_sscs_gf180</t>
  </si>
  <si>
    <t>info/C04_info.yaml</t>
  </si>
  <si>
    <t>1:*AUDIO_OUT_L</t>
  </si>
  <si>
    <t>2:RESET_N *DAC_FB_IN_L</t>
  </si>
  <si>
    <t>1:SYS_CLK_60M</t>
  </si>
  <si>
    <t>4:USB_DP_PULL DAC_MOD_OUT_L USB_DP USB_DN</t>
  </si>
  <si>
    <t>missing AUDIO_OUT_L; missing DAC_FB_IN_L</t>
  </si>
  <si>
    <t>A44_SAR_ADC_CORE_1000.gds</t>
  </si>
  <si>
    <t>gds/C04/DUT.gds</t>
  </si>
  <si>
    <t>madhavgulati277/SSCS-Chipathon-Track-C-MOSbius</t>
  </si>
  <si>
    <t>info/C05_info.yaml</t>
  </si>
  <si>
    <t>dry_run/lvs_config.json</t>
  </si>
  <si>
    <t>ota_gds</t>
  </si>
  <si>
    <t>dry_run/ota_gds.gds</t>
  </si>
  <si>
    <t>gds/C05/ota_gds.gds</t>
  </si>
  <si>
    <t>aravindustries/butterfold</t>
  </si>
  <si>
    <t>info/D03_info.yaml</t>
  </si>
  <si>
    <t>butterfold_top</t>
  </si>
  <si>
    <t>1:GND</t>
  </si>
  <si>
    <t>gds/butterfold_top.gds</t>
  </si>
  <si>
    <t>4:VREFN VINN VINP VREFP</t>
  </si>
  <si>
    <t>1:CLKS</t>
  </si>
  <si>
    <t>8:DOUT[7] DOUT[6] DOUT[5] DOUT[4] DOUT[3] DOUT[2] DOUT[1] DOUT[0]</t>
  </si>
  <si>
    <t>20:CLKS_CORE CMPCK DCMPN DCMPP DCTRLN[1] DCTRLN[2] DCTRLN[3] DCTRLN[4] DCTRLN[5] DCTRLN[6] DCTRLN[7] DCTRLP[1] DCTRLP[2] DCTRLP[3] DCTRLP[4] DCTRLP[5] DCTRLP[6] DCTRLP[7] VFON VFOP</t>
  </si>
  <si>
    <t>gds/D03/butterfold_top.gds</t>
  </si>
  <si>
    <t>chip_top_full.gds</t>
  </si>
  <si>
    <t>radhian/Chip-Orchestra</t>
  </si>
  <si>
    <t>info/D04_info.yaml</t>
  </si>
  <si>
    <t>output/nanocgra_lite_3x3_opt/lvs_config.json</t>
  </si>
  <si>
    <t>NanoCGRA_Lite</t>
  </si>
  <si>
    <t>output/nanocgra_lite_3x3_opt/gds/nanocgra_lite_3x3_opt_filled.gds</t>
  </si>
  <si>
    <t>gds/D04/nanocgra_lite_3x3_opt_filled.gds</t>
  </si>
  <si>
    <t>adeirman46/Gelochip</t>
  </si>
  <si>
    <t>info/D05_info.yaml</t>
  </si>
  <si>
    <t>rf_energy_harvester$1</t>
  </si>
  <si>
    <t>report/rf_harvester_signoff_out/harvester_top_full.gds</t>
  </si>
  <si>
    <t>9:clk_int scan_in scan_shift scan_load scan_i0o1 gpio_in[0] gpio_in[1] uart_rx spi_miso</t>
  </si>
  <si>
    <t>9:scan_out gpio_out[0] gpio_out[1] gpio_out[2] gpio_out[3] uart_tx spi_sclk spi_mosi spi_cs_n</t>
  </si>
  <si>
    <t>gds/D05/harvester_top_full.gds</t>
  </si>
  <si>
    <t>trc_top.gds</t>
  </si>
  <si>
    <t>D08</t>
  </si>
  <si>
    <t>mthudaa/Microelectronic-Block-Generator</t>
  </si>
  <si>
    <t>info/D08_info.yaml</t>
  </si>
  <si>
    <t>lvs_config_mbg_d08.json</t>
  </si>
  <si>
    <t>lvs_config_mbg_d08.json not found in mthudaa/Microelectronic-Block-Generator on the main branch</t>
  </si>
  <si>
    <t>Lefteris-B/Chipathon_2026_Secure_agentic_chip_design</t>
  </si>
  <si>
    <t>info/D10_info.yaml</t>
  </si>
  <si>
    <t>D10_D</t>
  </si>
  <si>
    <t>gds/D10_D.gds</t>
  </si>
  <si>
    <t>gds/D10/D10_D.gds</t>
  </si>
  <si>
    <t>3:iRST iSPI_CS iSPI_MOSI</t>
  </si>
  <si>
    <t>2:iCLK iSPI_SCK</t>
  </si>
  <si>
    <t>2:oSPI_MISO oINTERRUPT</t>
  </si>
  <si>
    <t>D14</t>
  </si>
  <si>
    <t>AlejandroJuarezLora/CapiMagics</t>
  </si>
  <si>
    <t>info/D14_info.yaml</t>
  </si>
  <si>
    <t>sar_adc_top.gds</t>
  </si>
  <si>
    <t>designs/libs/snn_analog/lvs_config.json</t>
  </si>
  <si>
    <t>D14_topcell</t>
  </si>
  <si>
    <t>gds/D14_topcell.gds</t>
  </si>
  <si>
    <t>gds/D14_topcell.gds not found in AlejandroJuarezLora/CapiMagics on the main branch</t>
  </si>
  <si>
    <t>MILOUDIAS/MOSAIC-SoC</t>
  </si>
  <si>
    <t>info/D15_info.yaml</t>
  </si>
  <si>
    <t>1:vdd</t>
  </si>
  <si>
    <t>mosaic_block_a</t>
  </si>
  <si>
    <t>1:vss</t>
  </si>
  <si>
    <t>2:vref vin</t>
  </si>
  <si>
    <t>1:start</t>
  </si>
  <si>
    <t>9:done dout[0] dout[1] dout[2] dout[3] dout[4] dout[5] dout[6] dout[7]</t>
  </si>
  <si>
    <t>flow/librelane/experimental/runs/blocka_padframe_def/final/gds/mosaic_block_a.gds</t>
  </si>
  <si>
    <t>no layer 0/datatype 0 exists in GDS for TOP_LAYOUT 'sar_adc_top'</t>
  </si>
  <si>
    <t>A53_trng_top.gds</t>
  </si>
  <si>
    <t>gds/D15/mosaic_block_a.gds</t>
  </si>
  <si>
    <t>alex-j-wang/low-power-RoT</t>
  </si>
  <si>
    <t>info/D16_info.yaml</t>
  </si>
  <si>
    <t>top_pd_min_logiconly_qspi_areaopt2</t>
  </si>
  <si>
    <t>gds/top_pd_min_logiconly_qspi_areaopt2.gds</t>
  </si>
  <si>
    <t>gds/D16/top_pd_min_logiconly_qspi_areaopt2.gds</t>
  </si>
  <si>
    <t>Successful</t>
  </si>
  <si>
    <t>Failed</t>
  </si>
  <si>
    <t>2:vin_vco analog_raw_out</t>
  </si>
  <si>
    <t>4:rst_n clk test_data_in test_mode_en</t>
  </si>
  <si>
    <t>2:data_serial_out bist_flag_out</t>
  </si>
  <si>
    <t>lstm16x_top.gds</t>
  </si>
  <si>
    <t>9:cmd_valid cmd_data[0] cmd_data[1] cmd_data[2] cmd_data[3] cmd_data[4] cmd_data[5] cmd_data[6] cmd_data[7]</t>
  </si>
  <si>
    <t>9:rsp_data[0] rsp_data[1] rsp_data[2] rsp_data[3] rsp_data[4] rsp_data[5] rsp_data[6] rsp_data[7] rsp_valid</t>
  </si>
  <si>
    <t>dla_engine_chip.gds</t>
  </si>
  <si>
    <t>1:DVDD</t>
  </si>
  <si>
    <t>1:DVSS</t>
  </si>
  <si>
    <t>7:SCLK MOSI CS_N MISO busy done wb_done</t>
  </si>
  <si>
    <t>spi_opentarget_i3c_top.gds</t>
  </si>
  <si>
    <t>7:rst_ni clk_i host_clk_i spi_sclk_i spi_cs_ni spi_mosi_i scl_pad_i</t>
  </si>
  <si>
    <t>3:spi_miso_o *sda_pad irq_o</t>
  </si>
  <si>
    <t>2:sda_pad_i sda_pad_o</t>
  </si>
  <si>
    <t>missing sda_pad_IN|sda_pad_OUT</t>
  </si>
  <si>
    <t>fdda_top.gds</t>
  </si>
  <si>
    <t>1:VDD_3v3</t>
  </si>
  <si>
    <t>6:Vnn Vnp Vpp Vpn Von Vop</t>
  </si>
  <si>
    <t>16:1a 1b 2a 2b 3a 3b 5 7 8 Bias_aux CM_neg CM_pos Gbias_20u_n Gbias_20u_p Vcm Vcmfb</t>
  </si>
  <si>
    <t>PLL_top.gds</t>
  </si>
  <si>
    <t>1:*Vctrl</t>
  </si>
  <si>
    <t>3:*Fref *SDA *SCL</t>
  </si>
  <si>
    <t>4:*CK0 *CK90 *CK180 *CK270</t>
  </si>
  <si>
    <t>missing CK0_IN|CK0_OUT; missing CK90_IN|CK90_OUT; missing CK180_IN|CK180_OUT; missing CK270_IN|CK270_OUT; missing Fref; missing Vctrl; missing SDA; missing SCL; missing vdd; missing vss</t>
  </si>
  <si>
    <t>ascon_top.gds</t>
  </si>
  <si>
    <t>3:rst cs_n mosi</t>
  </si>
  <si>
    <t>2:clk sclk</t>
  </si>
  <si>
    <t>lambda_kv_coproc.gds</t>
  </si>
  <si>
    <t>4:rst_n spi_sclk spi_cs_n spi_mosi</t>
  </si>
  <si>
    <t>5:spi_miso obs0 obs1 obs2 obs3</t>
  </si>
  <si>
    <t>ABC123_SDC.gds</t>
  </si>
  <si>
    <t>1:VDD_1</t>
  </si>
  <si>
    <t>1:VSS_1</t>
  </si>
  <si>
    <t>2:CSENS CREF</t>
  </si>
  <si>
    <t>1:VCTRL</t>
  </si>
  <si>
    <t>7:CAPBANK[0] CAPBANK[1] CAPBANK[2] DFF_IN_SEL DFF_IN1 DFF_IN2 CHOP</t>
  </si>
  <si>
    <t>3:CCOSENS_OUT CCOREF_OUT DOUT</t>
  </si>
  <si>
    <t>TOP_LAYOUT cell 'ABC123_SDC' not found in GDS</t>
  </si>
  <si>
    <t>B04_TOP.gds</t>
  </si>
  <si>
    <t>4:Vin Vbpf Venvelope Vthreshold</t>
  </si>
  <si>
    <t>1:en</t>
  </si>
  <si>
    <t>1:scl</t>
  </si>
  <si>
    <t>2:Vtrigger sda</t>
  </si>
  <si>
    <t>TOP.gds</t>
  </si>
  <si>
    <t>pin entry 5 ('CLK') has unsupported pad type 'digital'</t>
  </si>
  <si>
    <t>2:*B11_BMS_DVDD *B11_BMS_AVDD</t>
  </si>
  <si>
    <t>2:*B11_BMS_DVSS *B11_BMS_AVSS</t>
  </si>
  <si>
    <t>6:*B11_BMS_VINN_CH1 *B11_BMS_VINP_CH1 *B11_BMS_VREFP *B11_BMS_IBIAS_5u *B11_BMS_VCM *B11_BMS_ATB_IA_ADC</t>
  </si>
  <si>
    <t>10:*B11_BMS_CLKIN *B11_BMS_CLK_FCHOP *B11_BMS_EN_EIS *B11_BMS_EIS_RESET *B11_BMS_CH_SEL *B11_BMS_ATB_SEL_0 *B11_BMS_ATB_SEL_1 *B11_BMS_D_EIS *B11_BMS_CLK_EIS *B11_BMS_DOUT</t>
  </si>
  <si>
    <t>2:*B11_BMS_VINN_CH2 *B11_BMS_VINP_CH2</t>
  </si>
  <si>
    <t>missing B11_BMS_DVSS; missing B11_BMS_CLKIN; missing B11_BMS_CLK_FCHOP; missing B11_BMS_DVDD; missing B11_BMS_VINN_CH1; missing B11_BMS_VINP_CH1; missing B11_BMS_VREFP; missing B11_BMS_IBIAS_5u; missing B11_BMS_VCM; missing B11_BMS_VINN_CH2_IN|B11_BMS_VINN_CH2_OUT; missing B11_BMS_VINP_CH2_IN|B11_BMS_VINP_CH2_OUT; missing B11_BMS_EN_EIS; missing B11_BMS_EIS_RESET; missing B11_BMS_AVSS; missing B11_BMS_AVDD; missing B11_BMS_CH_SEL; missing B11_BMS_ATB_SEL_0; missing B11_BMS_ATB_SEL_1; missing B11_BMS_D_EIS; missing B11_BMS_CLK_EIS; missing B11_BMS_ATB_IA_ADC; missing B11_BMS_DOUT</t>
  </si>
  <si>
    <t>perceptron.gds</t>
  </si>
  <si>
    <t>7:V_w2 I_x2 V_b I_x1 V_w1 V_shift V_out_perceptron</t>
  </si>
  <si>
    <t>B14_A.gds</t>
  </si>
  <si>
    <t>5:VREF_P VREF_N RE TIA_R CE</t>
  </si>
  <si>
    <t>11:B6 B4 B2 B0 B1 B3 B5 B7 VbiasN AGND WE</t>
  </si>
  <si>
    <t>B18_Probton.gds</t>
  </si>
  <si>
    <t>4:spi_sclk clk comp_x comp_y</t>
  </si>
  <si>
    <t>3:rst_n spi_cs_n spi_mosi</t>
  </si>
  <si>
    <t>10:spi_miso move_en_x dir_x ref_wave_x mems_drv_x mems_drv_y ref_wave_y dir_y move_en_y read_en</t>
  </si>
  <si>
    <t>2:*AVDD *DVDD</t>
  </si>
  <si>
    <t>2:*AGND *DGND</t>
  </si>
  <si>
    <t>6:*CLK *RESET *ENABLE *TEST_SEL_2 *TEST_SEL_1 *TEST_SEL_0</t>
  </si>
  <si>
    <t>4:*DATA_OUT *DATA_VALID *TEST_ANALOG *TEST_OUT</t>
  </si>
  <si>
    <t>missing AGND; missing AVDD; missing DVDD; missing DGND; missing CLK; missing RESET; missing ENABLE; missing TEST_SEL_2; missing TEST_SEL_1; missing TEST_SEL_0; missing DATA_OUT_IN|DATA_OUT_OUT; missing DATA_VALID_IN|DATA_VALID_OUT; missing TEST_ANALOG_IN|TEST_ANALOG_OUT; missing TEST_OUT_IN|TEST_OUT_OUT</t>
  </si>
  <si>
    <t>2:VSET VDD</t>
  </si>
  <si>
    <t>15:Ibias LED_K Comparator_out HPF_outp HPF_outn HPF_inp HPF_inn Vb1 Vb2 Vb3 Vb4 LPF_outp LPF_outn LPF_inp LPF_inn</t>
  </si>
  <si>
    <t>group 2 missing ground: VDD HPF_outp HPF_outn HPF_inp HPF_inn Vb1 Vb2 Vb3 Vb4 LPF_outp LPF_outn LPF_inp LPF_inn; TOP_LAYOUT cell 'B24_topcell' not found in GDS</t>
  </si>
  <si>
    <t>GRADIENT_NAV2_filled.gds</t>
  </si>
  <si>
    <t>11:S4P S4N Z Y X S1N S1P S3P S3N S2N S2P</t>
  </si>
  <si>
    <t>6:ZN ZP YN YP XN XP</t>
  </si>
  <si>
    <t>pin entry 9 ('Vmem') has unsupported pad type 'output'; TOP_LAYOUT cell 'TopFinal' not found in GDS</t>
  </si>
  <si>
    <t>DUT.gds</t>
  </si>
  <si>
    <t>12:INP_TELESCOPIC INP_FOLDED OUT_TELESCOPIC OUT_FOLDED INP_5T INN_TELESCOPIC INN_FOLDED IBIAS IN_CS OUT_CS INN_5T OUT_5T</t>
  </si>
  <si>
    <t>3:PROG_ENA SCAN_IN CLK</t>
  </si>
  <si>
    <t>1:SCAN_OUT</t>
  </si>
  <si>
    <t>analog pin entry 16 ('SCDAC2_OUT') does not specify whether secondary ESD protection is used; Stream has unknown format: /Users/kanobailey/chipathon/2026/gds/C04/DUT.gds in Layout.read</t>
  </si>
  <si>
    <t>ota_gds.gds</t>
  </si>
  <si>
    <t>info.yaml does not contain a pin list (expected 'pins' or 'project.pins'); TOP_LAYOUT cell 'ota_gds' not found in GDS</t>
  </si>
  <si>
    <t>butterfold_top.gds</t>
  </si>
  <si>
    <t>10:rst_n din_valid_i din[7] din[6] din[5] din[4] din[3] din[2] din[1] din[0]</t>
  </si>
  <si>
    <t>10:din_ready_o dout_valid_o dout[7] dout[6] dout[5] dout[4] dout[3] dout[2] dout[1] dout[0]</t>
  </si>
  <si>
    <t>nanocgra_lite_3x3_opt_filled.gds</t>
  </si>
  <si>
    <t>1:*uart_tx</t>
  </si>
  <si>
    <t>missing vss; missing uart_tx_IN|uart_tx_OUT; missing vdd</t>
  </si>
  <si>
    <t>harvester_top_full.gds</t>
  </si>
  <si>
    <t>1:*VCC</t>
  </si>
  <si>
    <t>3:RFP RFN VOUT</t>
  </si>
  <si>
    <t>5:N1 N2 VMID1 VMID2 VRECT</t>
  </si>
  <si>
    <t>missing VCC</t>
  </si>
  <si>
    <t>D10_D.gds</t>
  </si>
  <si>
    <t>4:rst_n din load_en shift_out_en</t>
  </si>
  <si>
    <t>2:dout done</t>
  </si>
  <si>
    <t>mosaic_block_a.gds</t>
  </si>
  <si>
    <t>4:rst_ni boot_select_i execute_from_flash_i uart_rx_i</t>
  </si>
  <si>
    <t>1:clk_i</t>
  </si>
  <si>
    <t>15:uart_tx_o spi_flash_sck_o spi_flash_cs_o spi_flash_sd_io[0] spi_flash_sd_io[1] spi_flash_sd_io[2] spi_flash_sd_io[3] status_valid_o status_o[0] status_o[1] status_o[2] status_o[3] status_o[4] status_o[5] status_o[6]</t>
  </si>
  <si>
    <t>top_pd_min_logiconly_qspi_areaopt2.gds</t>
  </si>
  <si>
    <t>2:rst_ni uart_rx_i</t>
  </si>
  <si>
    <t>13:uart_tx_o uart_tx_en_o qspi_sclk_o qspi_cs_n_o qspi_io_o[0] qspi_io_o[1] qspi_io_o[2] qspi_io_o[3] qspi_io_i[0] qspi_io_i[1] qspi_io_i[2] qspi_io_i[3] qspi_io_oe_o</t>
  </si>
  <si>
    <t>Chip</t>
  </si>
  <si>
    <t>Utilization</t>
  </si>
  <si>
    <t>X</t>
  </si>
  <si>
    <t>Projects</t>
  </si>
  <si>
    <t>Zero pins:</t>
  </si>
  <si>
    <t>No bbox</t>
  </si>
  <si>
    <t>Invalid bbox</t>
  </si>
  <si>
    <t>Unused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</si>
</sst>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00"/>
  </numFmts>
  <fonts count="5">
    <font>
      <sz val="10.0"/>
      <color rgb="FF000000"/>
      <name val="Arial"/>
      <scheme val="minor"/>
    </font>
    <font>
      <color rgb="FF000000"/>
      <name val="Arial"/>
      <scheme val="minor"/>
    </font>
    <font>
      <color theme="1"/>
      <name val="Arial"/>
      <scheme val="minor"/>
    </font>
    <font>
      <color rgb="FF434343"/>
      <name val="Roboto"/>
    </font>
    <font>
      <u/>
      <color rgb="FF0000FF"/>
    </font>
  </fonts>
  <fills count="7">
    <fill>
      <patternFill patternType="none"/>
    </fill>
    <fill>
      <patternFill patternType="lightGray"/>
    </fill>
    <fill>
      <patternFill patternType="solid">
        <fgColor rgb="FFF8F9FA"/>
        <bgColor rgb="FFF8F9FA"/>
      </patternFill>
    </fill>
    <fill>
      <patternFill patternType="solid">
        <fgColor rgb="FFFFFF00"/>
        <bgColor rgb="FFFFFF00"/>
      </patternFill>
    </fill>
    <fill>
      <patternFill patternType="solid">
        <fgColor rgb="FFFFFFFF"/>
        <bgColor rgb="FFFFFFFF"/>
      </patternFill>
    </fill>
    <fill>
      <patternFill patternType="solid">
        <fgColor rgb="FFFF9900"/>
        <bgColor rgb="FFFF9900"/>
      </patternFill>
    </fill>
    <fill>
      <patternFill patternType="solid">
        <fgColor rgb="FFFF0000"/>
        <bgColor rgb="FFFF0000"/>
      </patternFill>
    </fill>
  </fills>
  <borders count="12">
    <border/>
    <border>
      <left style="thin">
        <color rgb="FFF8F9FA"/>
      </left>
      <right style="thin">
        <color rgb="FFF8F9FA"/>
      </right>
      <top style="thin">
        <color rgb="FFF8F9FA"/>
      </top>
      <bottom style="thin">
        <color rgb="FFF8F9FA"/>
      </bottom>
    </border>
    <border>
      <left style="thin">
        <color rgb="FFFFFFFF"/>
      </left>
      <right style="thin">
        <color rgb="FFFFFFFF"/>
      </right>
      <top style="thin">
        <color rgb="FFFFFFFF"/>
      </top>
      <bottom style="thin">
        <color rgb="FFFFFFFF"/>
      </bottom>
    </border>
    <border>
      <left style="thin">
        <color rgb="FFF8F9FA"/>
      </left>
      <right style="thin">
        <color rgb="FFF8F9FA"/>
      </right>
      <top style="thin">
        <color rgb="FFF8F9FA"/>
      </top>
      <bottom style="thin">
        <color rgb="FF442F65"/>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Font="1"/>
    <xf borderId="0" fillId="0" fontId="2" numFmtId="0" xfId="0" applyAlignment="1" applyFont="1">
      <alignment horizontal="center" readingOrder="0"/>
    </xf>
    <xf borderId="0" fillId="2" fontId="3" numFmtId="0" xfId="0" applyAlignment="1" applyFill="1" applyFont="1">
      <alignment shrinkToFit="0" wrapText="0"/>
    </xf>
    <xf borderId="1" fillId="2" fontId="3" numFmtId="0" xfId="0" applyAlignment="1" applyBorder="1" applyFill="1" applyFont="1">
      <alignment shrinkToFit="0" wrapText="0"/>
    </xf>
    <xf borderId="0" fillId="3" fontId="3" numFmtId="0" xfId="0" applyAlignment="1" applyFill="1" applyFont="1">
      <alignment shrinkToFit="0" wrapText="0"/>
    </xf>
    <xf borderId="2" fillId="4" fontId="3" numFmtId="0" xfId="0" applyAlignment="1" applyBorder="1" applyFill="1" applyFont="1">
      <alignment shrinkToFit="0" wrapText="0"/>
    </xf>
    <xf borderId="1" fillId="2" fontId="3" numFmtId="0" xfId="0" applyAlignment="1" applyBorder="1" applyFill="1" applyFont="1">
      <alignment readingOrder="0" shrinkToFit="0" wrapText="0"/>
    </xf>
    <xf borderId="2" fillId="4" fontId="3" numFmtId="0" xfId="0" applyAlignment="1" applyBorder="1" applyFill="1" applyFont="1">
      <alignment readingOrder="0" shrinkToFit="0" wrapText="0"/>
    </xf>
    <xf borderId="0" fillId="0" fontId="2" numFmtId="0" xfId="0" applyAlignment="1" applyFont="1">
      <alignment horizontal="right" readingOrder="0"/>
    </xf>
    <xf borderId="3" fillId="2" fontId="3" numFmtId="0" xfId="0" applyAlignment="1" applyBorder="1" applyFill="1" applyFont="1">
      <alignment shrinkToFit="0" wrapText="0"/>
    </xf>
    <xf borderId="0" fillId="0" fontId="2" numFmtId="3" xfId="0" applyAlignment="1" applyFont="1" applyNumberFormat="1">
      <alignment horizontal="center" readingOrder="0"/>
    </xf>
    <xf borderId="0" fillId="0" fontId="2" numFmtId="0" xfId="0" applyAlignment="1" applyFont="1">
      <alignment horizontal="center"/>
    </xf>
    <xf borderId="0" fillId="0" fontId="2" numFmtId="0" xfId="0" applyAlignment="1" applyFont="1">
      <alignment readingOrder="0"/>
    </xf>
    <xf borderId="0" fillId="0" fontId="2" numFmtId="49" xfId="0" applyAlignment="1" applyFont="1" applyNumberFormat="1">
      <alignment horizontal="right" readingOrder="0"/>
    </xf>
    <xf borderId="0" fillId="0" fontId="2" numFmtId="3" xfId="0" applyAlignment="1" applyFont="1" applyNumberFormat="1">
      <alignment readingOrder="0"/>
    </xf>
    <xf borderId="0" fillId="0" fontId="2" numFmtId="10" xfId="0" applyFont="1" applyNumberFormat="1"/>
    <xf borderId="0" fillId="5" fontId="2" numFmtId="0" xfId="0" applyAlignment="1" applyFill="1" applyFont="1">
      <alignment readingOrder="0"/>
    </xf>
    <xf borderId="0" fillId="0" fontId="2" numFmtId="0" xfId="0" applyAlignment="1" applyFont="1">
      <alignment horizontal="right"/>
    </xf>
    <xf borderId="0" fillId="0" fontId="2" numFmtId="3" xfId="0" applyFont="1" applyNumberFormat="1"/>
    <xf borderId="0" fillId="0" fontId="4" numFmtId="0" xfId="0" applyAlignment="1" applyFont="1">
      <alignment readingOrder="0"/>
    </xf>
    <xf borderId="0" fillId="5" fontId="2" numFmtId="0" xfId="0" applyFill="1" applyFont="1"/>
    <xf borderId="0" fillId="6" fontId="2" numFmtId="0" xfId="0" applyAlignment="1" applyFill="1" applyFont="1">
      <alignment horizontal="center" readingOrder="0"/>
    </xf>
    <xf borderId="4" fillId="0" fontId="2" numFmtId="0" xfId="0" applyAlignment="1" applyBorder="1" applyFont="1">
      <alignment horizontal="center" readingOrder="0"/>
    </xf>
    <xf borderId="5" fillId="0" fontId="2" numFmtId="0" xfId="0" applyAlignment="1" applyBorder="1" applyFont="1">
      <alignment horizontal="center" readingOrder="0"/>
    </xf>
    <xf borderId="6" fillId="0" fontId="2" numFmtId="0" xfId="0" applyAlignment="1" applyBorder="1" applyFont="1">
      <alignment horizontal="center" readingOrder="0"/>
    </xf>
    <xf borderId="7" fillId="0" fontId="2" numFmtId="0" xfId="0" applyAlignment="1" applyBorder="1" applyFont="1">
      <alignment horizontal="center" readingOrder="0"/>
    </xf>
    <xf borderId="8" fillId="0" fontId="2" numFmtId="10" xfId="0" applyAlignment="1" applyBorder="1" applyFont="1" applyNumberFormat="1">
      <alignment readingOrder="0"/>
    </xf>
    <xf borderId="9" fillId="0" fontId="2" numFmtId="0" xfId="0" applyBorder="1" applyFont="1"/>
    <xf borderId="10" fillId="0" fontId="2" numFmtId="0" xfId="0" applyBorder="1" applyFont="1"/>
    <xf borderId="11" fillId="0" fontId="2" numFmtId="164" xfId="0" applyBorder="1" applyFont="1" applyNumberFormat="1"/>
    <xf borderId="0" fillId="0" fontId="2" numFmtId="165" xfId="0" applyFont="1" applyNumberFormat="1"/>
    <xf borderId="0" fillId="0" fontId="2" numFmtId="164" xfId="0" applyFont="1" applyNumberFormat="1"/>
  </cellXfs>
  <cellStyles count="1">
    <cellStyle xfId="0" name="Normal" builtinId="0"/>
  </cellStyles>
  <dxfs count="8">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
      <font/>
      <fill>
        <patternFill patternType="solid">
          <fgColor rgb="FF00FF00"/>
          <bgColor rgb="FF00FF00"/>
        </patternFill>
      </fill>
      <border/>
    </dxf>
    <dxf>
      <font/>
      <fill>
        <patternFill patternType="solid">
          <fgColor rgb="FFFF0000"/>
          <bgColor rgb="FFFF0000"/>
        </patternFill>
      </fill>
      <border/>
    </dxf>
    <dxf>
      <font>
        <b/>
      </font>
      <fill>
        <patternFill patternType="none"/>
      </fill>
      <border/>
    </dxf>
    <dxf>
      <font/>
      <fill>
        <patternFill patternType="solid">
          <fgColor rgb="FFFF9900"/>
          <bgColor rgb="FFFF9900"/>
        </patternFill>
      </fill>
      <border/>
    </dxf>
    <dxf>
      <font/>
      <fill>
        <patternFill patternType="solid">
          <fgColor rgb="FFFFFF00"/>
          <bgColor rgb="FFFFFF00"/>
        </patternFill>
      </fill>
      <border/>
    </dxf>
  </dxfs>
  <tableStyles count="1">
    <tableStyle count="2" pivot="0" name="Export-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85725</xdr:colOff>
      <xdr:row>50</xdr:row>
      <xdr:rowOff>85725</xdr:rowOff>
    </xdr:from>
    <xdr:ext cx="3695700" cy="5467350"/>
    <xdr:sp>
      <xdr:nvSpPr>
        <xdr:cNvPr id="3" name="Shape 3"/>
        <xdr:cNvSpPr txBox="1"/>
      </xdr:nvSpPr>
      <xdr:spPr>
        <a:xfrm>
          <a:off x="197400" y="203025"/>
          <a:ext cx="3680400" cy="5451000"/>
        </a:xfrm>
        <a:prstGeom prst="rect">
          <a:avLst/>
        </a:prstGeom>
        <a:solidFill>
          <a:srgbClr val="F4CCCC"/>
        </a:solid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Red in the height width column </a:t>
          </a:r>
          <a:r>
            <a:rPr lang="en-US" sz="1400"/>
            <a:t>means</a:t>
          </a:r>
          <a:r>
            <a:rPr lang="en-US" sz="1400"/>
            <a:t> you’re missing a bonding box on layer 0/0.</a:t>
          </a:r>
          <a:endParaRPr sz="1400"/>
        </a:p>
        <a:p>
          <a:pPr indent="0" lvl="0" marL="0" rtl="0" algn="l">
            <a:spcBef>
              <a:spcPts val="0"/>
            </a:spcBef>
            <a:spcAft>
              <a:spcPts val="0"/>
            </a:spcAft>
            <a:buNone/>
          </a:pPr>
          <a:r>
            <a:t/>
          </a:r>
          <a:endParaRPr sz="1400"/>
        </a:p>
        <a:p>
          <a:pPr indent="0" lvl="0" marL="0" rtl="0" algn="l">
            <a:spcBef>
              <a:spcPts val="0"/>
            </a:spcBef>
            <a:spcAft>
              <a:spcPts val="0"/>
            </a:spcAft>
            <a:buNone/>
          </a:pPr>
          <a:r>
            <a:rPr lang="en-US" sz="1400"/>
            <a:t>Red in the pin count column means that you need to define the pins in the info.yaml file.</a:t>
          </a:r>
          <a:endParaRPr sz="1400"/>
        </a:p>
        <a:p>
          <a:pPr indent="0" lvl="0" marL="0" rtl="0" algn="l">
            <a:spcBef>
              <a:spcPts val="0"/>
            </a:spcBef>
            <a:spcAft>
              <a:spcPts val="0"/>
            </a:spcAft>
            <a:buNone/>
          </a:pPr>
          <a:r>
            <a:t/>
          </a:r>
          <a:endParaRPr sz="1400"/>
        </a:p>
        <a:p>
          <a:pPr indent="0" lvl="0" marL="0" rtl="0" algn="l">
            <a:spcBef>
              <a:spcPts val="0"/>
            </a:spcBef>
            <a:spcAft>
              <a:spcPts val="0"/>
            </a:spcAft>
            <a:buNone/>
          </a:pPr>
          <a:r>
            <a:rPr lang="en-US" sz="1400"/>
            <a:t>Red in the slot column means there’s some other type of error. See the cell comment.</a:t>
          </a:r>
          <a:endParaRPr sz="1400"/>
        </a:p>
        <a:p>
          <a:pPr indent="0" lvl="0" marL="0" rtl="0" algn="l">
            <a:spcBef>
              <a:spcPts val="0"/>
            </a:spcBef>
            <a:spcAft>
              <a:spcPts val="0"/>
            </a:spcAft>
            <a:buNone/>
          </a:pPr>
          <a:r>
            <a:t/>
          </a:r>
          <a:endParaRPr sz="1400"/>
        </a:p>
        <a:p>
          <a:pPr indent="0" lvl="0" marL="0" rtl="0" algn="l">
            <a:spcBef>
              <a:spcPts val="0"/>
            </a:spcBef>
            <a:spcAft>
              <a:spcPts val="0"/>
            </a:spcAft>
            <a:buNone/>
          </a:pPr>
          <a:r>
            <a:rPr lang="en-US" sz="1400"/>
            <a:t>Red in the power </a:t>
          </a:r>
          <a:r>
            <a:rPr lang="en-US" sz="1400"/>
            <a:t>column</a:t>
          </a:r>
          <a:r>
            <a:rPr lang="en-US" sz="1400"/>
            <a:t> means you’re missing a power pad.</a:t>
          </a:r>
          <a:endParaRPr sz="1400"/>
        </a:p>
        <a:p>
          <a:pPr indent="0" lvl="0" marL="0" rtl="0" algn="l">
            <a:spcBef>
              <a:spcPts val="0"/>
            </a:spcBef>
            <a:spcAft>
              <a:spcPts val="0"/>
            </a:spcAft>
            <a:buNone/>
          </a:pPr>
          <a:r>
            <a:t/>
          </a:r>
          <a:endParaRPr sz="1400"/>
        </a:p>
        <a:p>
          <a:pPr indent="0" lvl="0" marL="0" rtl="0" algn="l">
            <a:spcBef>
              <a:spcPts val="0"/>
            </a:spcBef>
            <a:spcAft>
              <a:spcPts val="0"/>
            </a:spcAft>
            <a:buNone/>
          </a:pPr>
          <a:r>
            <a:rPr lang="en-US" sz="1400"/>
            <a:t>Red in the ground column means you’re missing a ground pad.</a:t>
          </a:r>
          <a:endParaRPr sz="1400"/>
        </a:p>
        <a:p>
          <a:pPr indent="0" lvl="0" marL="0" rtl="0" algn="l">
            <a:spcBef>
              <a:spcPts val="0"/>
            </a:spcBef>
            <a:spcAft>
              <a:spcPts val="0"/>
            </a:spcAft>
            <a:buNone/>
          </a:pPr>
          <a:r>
            <a:t/>
          </a:r>
          <a:endParaRPr sz="1400"/>
        </a:p>
        <a:p>
          <a:pPr indent="0" lvl="0" marL="0" rtl="0" algn="l">
            <a:spcBef>
              <a:spcPts val="0"/>
            </a:spcBef>
            <a:spcAft>
              <a:spcPts val="0"/>
            </a:spcAft>
            <a:buNone/>
          </a:pPr>
          <a:r>
            <a:rPr lang="en-US" sz="1400"/>
            <a:t>For projects with an extended block configuration, please try to fit in an A block 1110 x 1110 and 22 pins.</a:t>
          </a:r>
          <a:endParaRPr sz="1400"/>
        </a:p>
        <a:p>
          <a:pPr indent="0" lvl="0" marL="0" rtl="0" algn="l">
            <a:spcBef>
              <a:spcPts val="0"/>
            </a:spcBef>
            <a:spcAft>
              <a:spcPts val="0"/>
            </a:spcAft>
            <a:buNone/>
          </a:pPr>
          <a:r>
            <a:t/>
          </a:r>
          <a:endParaRPr sz="1400"/>
        </a:p>
        <a:p>
          <a:pPr indent="0" lvl="0" marL="0" rtl="0" algn="l">
            <a:spcBef>
              <a:spcPts val="0"/>
            </a:spcBef>
            <a:spcAft>
              <a:spcPts val="0"/>
            </a:spcAft>
            <a:buNone/>
          </a:pPr>
          <a:r>
            <a:rPr lang="en-US" sz="1400"/>
            <a:t>We’d especially like to avoid ACE (blocks 1675 x 1675, 36 pins) as much as possible. </a:t>
          </a:r>
          <a:br>
            <a:rPr lang="en-US" sz="1400"/>
          </a:br>
          <a:br>
            <a:rPr lang="en-US" sz="1400"/>
          </a:br>
          <a:r>
            <a:rPr lang="en-US" sz="1400"/>
            <a:t>ACV, ACH blocks (1675 x 1110 or 1110 x 1675 with 28 pins) are easier.</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161925</xdr:colOff>
      <xdr:row>2</xdr:row>
      <xdr:rowOff>171450</xdr:rowOff>
    </xdr:from>
    <xdr:ext cx="6562725" cy="3505200"/>
    <xdr:sp>
      <xdr:nvSpPr>
        <xdr:cNvPr id="4" name="Shape 4"/>
        <xdr:cNvSpPr txBox="1"/>
      </xdr:nvSpPr>
      <xdr:spPr>
        <a:xfrm>
          <a:off x="684650" y="420850"/>
          <a:ext cx="6547500" cy="3481800"/>
        </a:xfrm>
        <a:prstGeom prst="rect">
          <a:avLst/>
        </a:prstGeom>
        <a:solidFill>
          <a:srgbClr val="FFFF00"/>
        </a:solid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There may be discrepancies in this automatically generated report.</a:t>
          </a:r>
          <a:endParaRPr sz="1400"/>
        </a:p>
        <a:p>
          <a:pPr indent="0" lvl="0" marL="0" rtl="0" algn="l">
            <a:spcBef>
              <a:spcPts val="0"/>
            </a:spcBef>
            <a:spcAft>
              <a:spcPts val="0"/>
            </a:spcAft>
            <a:buNone/>
          </a:pPr>
          <a:r>
            <a:rPr lang="en-US" sz="1400"/>
            <a:t>Each error has not been confirmed.</a:t>
          </a:r>
          <a:endParaRPr sz="1400"/>
        </a:p>
        <a:p>
          <a:pPr indent="0" lvl="0" marL="0" rtl="0" algn="l">
            <a:spcBef>
              <a:spcPts val="0"/>
            </a:spcBef>
            <a:spcAft>
              <a:spcPts val="0"/>
            </a:spcAft>
            <a:buNone/>
          </a:pPr>
          <a:r>
            <a:t/>
          </a:r>
          <a:endParaRPr sz="1400"/>
        </a:p>
        <a:p>
          <a:pPr indent="-317500" lvl="0" marL="457200" rtl="0" algn="l">
            <a:spcBef>
              <a:spcPts val="0"/>
            </a:spcBef>
            <a:spcAft>
              <a:spcPts val="0"/>
            </a:spcAft>
            <a:buSzPts val="1400"/>
            <a:buAutoNum type="arabicPeriod"/>
          </a:pPr>
          <a:r>
            <a:rPr lang="en-US" sz="1400"/>
            <a:t>There will be a break in the I/O ring between groups of power and ground signals.</a:t>
          </a:r>
          <a:endParaRPr sz="1400"/>
        </a:p>
        <a:p>
          <a:pPr indent="-317500" lvl="0" marL="457200" rtl="0" algn="l">
            <a:spcBef>
              <a:spcPts val="0"/>
            </a:spcBef>
            <a:spcAft>
              <a:spcPts val="0"/>
            </a:spcAft>
            <a:buSzPts val="1400"/>
            <a:buAutoNum type="arabicPeriod"/>
          </a:pPr>
          <a:r>
            <a:rPr lang="en-US" sz="1400"/>
            <a:t>There is no default global ground. You need an explicit ground pin. Your first pin must be a ground pin.</a:t>
          </a:r>
          <a:endParaRPr sz="1400"/>
        </a:p>
        <a:p>
          <a:pPr indent="-317500" lvl="0" marL="457200" rtl="0" algn="l">
            <a:spcBef>
              <a:spcPts val="0"/>
            </a:spcBef>
            <a:spcAft>
              <a:spcPts val="0"/>
            </a:spcAft>
            <a:buSzPts val="1400"/>
            <a:buAutoNum type="arabicPeriod"/>
          </a:pPr>
          <a:r>
            <a:rPr lang="en-US" sz="1400"/>
            <a:t>Currently, bidirectional pads expect both an input and output signal. This is only needed if you are using both. The check will be updated.</a:t>
          </a:r>
          <a:endParaRPr sz="1400"/>
        </a:p>
        <a:p>
          <a:pPr indent="-317500" lvl="0" marL="457200" rtl="0" algn="l">
            <a:spcBef>
              <a:spcPts val="0"/>
            </a:spcBef>
            <a:spcAft>
              <a:spcPts val="0"/>
            </a:spcAft>
            <a:buSzPts val="1400"/>
            <a:buAutoNum type="arabicPeriod"/>
          </a:pPr>
          <a:r>
            <a:rPr lang="en-US" sz="1400"/>
            <a:t>The pins in the info.yaml file are expected to exist as text on the top level of the layout.</a:t>
          </a:r>
          <a:endParaRPr sz="1400"/>
        </a:p>
        <a:p>
          <a:pPr indent="-317500" lvl="0" marL="457200" rtl="0" algn="l">
            <a:spcBef>
              <a:spcPts val="0"/>
            </a:spcBef>
            <a:spcAft>
              <a:spcPts val="0"/>
            </a:spcAft>
            <a:buSzPts val="1400"/>
            <a:buAutoNum type="arabicPeriod"/>
          </a:pPr>
          <a:r>
            <a:rPr lang="en-US" sz="1400"/>
            <a:t>Analog pads must have a secondary_esd: true|false attribute in the info.yaml file.</a:t>
          </a:r>
          <a:endParaRPr sz="1400"/>
        </a:p>
        <a:p>
          <a:pPr indent="-317500" lvl="0" marL="457200" rtl="0" algn="l">
            <a:spcBef>
              <a:spcPts val="0"/>
            </a:spcBef>
            <a:spcAft>
              <a:spcPts val="0"/>
            </a:spcAft>
            <a:buSzPts val="1400"/>
            <a:buAutoNum type="arabicPeriod"/>
          </a:pPr>
          <a:r>
            <a:rPr lang="en-US" sz="1400"/>
            <a:t>Layout must have one bounding box on layer 0/0 that matches a defined block size.</a:t>
          </a:r>
          <a:endParaRPr sz="1400"/>
        </a:p>
      </xdr:txBody>
    </xdr:sp>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D43" displayName="Table_1" name="Table_1" id="1">
  <tableColumns count="4">
    <tableColumn name="Column1" id="1"/>
    <tableColumn name="Column2" id="2"/>
    <tableColumn name="Column3" id="3"/>
    <tableColumn name="Column4" id="4"/>
  </tableColumns>
  <tableStyleInfo name="Ex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presentation/d/1Xv_e0r1JKkjAIttDKGDsLEcDNz211jee_gQeWR6n7Es/edit?usp=sharing"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5.13"/>
    <col customWidth="1" min="2" max="3" width="21.5"/>
    <col customWidth="1" min="4" max="5" width="8.75"/>
    <col customWidth="1" min="6" max="6" width="9.38"/>
    <col customWidth="1" min="7" max="7" width="7.38"/>
    <col customWidth="1" min="8" max="8" width="10.63"/>
    <col customWidth="1" min="9" max="9" width="10.75"/>
    <col customWidth="1" min="10" max="10" width="8.38"/>
    <col customWidth="1" min="19" max="20" width="12.63"/>
  </cols>
  <sheetData>
    <row r="1">
      <c r="A1" s="2" t="s">
        <v>2</v>
      </c>
      <c r="B1" s="2" t="s">
        <v>20</v>
      </c>
      <c r="C1" s="2" t="s">
        <v>22</v>
      </c>
      <c r="D1" s="2" t="s">
        <v>23</v>
      </c>
      <c r="E1" s="2" t="s">
        <v>25</v>
      </c>
      <c r="F1" s="4" t="s">
        <v>27</v>
      </c>
      <c r="G1" s="4" t="s">
        <v>31</v>
      </c>
      <c r="H1" s="4" t="s">
        <v>6</v>
      </c>
      <c r="I1" s="4" t="s">
        <v>34</v>
      </c>
      <c r="J1" s="2" t="s">
        <v>35</v>
      </c>
      <c r="K1" s="2" t="s">
        <v>38</v>
      </c>
      <c r="L1" s="2" t="s">
        <v>41</v>
      </c>
      <c r="M1" s="2" t="s">
        <v>43</v>
      </c>
      <c r="N1" s="2" t="s">
        <v>44</v>
      </c>
      <c r="O1" s="2" t="s">
        <v>46</v>
      </c>
      <c r="P1" s="2" t="s">
        <v>47</v>
      </c>
      <c r="Q1" s="2" t="s">
        <v>50</v>
      </c>
      <c r="R1" s="2" t="s">
        <v>51</v>
      </c>
      <c r="S1" s="2" t="s">
        <v>53</v>
      </c>
      <c r="T1" s="2" t="s">
        <v>55</v>
      </c>
    </row>
    <row r="2">
      <c r="A2" s="2" t="s">
        <v>0</v>
      </c>
      <c r="B2" s="2" t="s">
        <v>10</v>
      </c>
      <c r="C2" s="2" t="s">
        <v>58</v>
      </c>
      <c r="D2" s="2">
        <v>1110.0</v>
      </c>
      <c r="E2" s="2">
        <v>550.0</v>
      </c>
      <c r="F2" s="4" t="b">
        <f>IFERROR(and(vlookup(D2,Blocks!E$2:E$12,1,0),vlookup(E2,Blocks!F$2:F$12,1,0)),false)</f>
        <v>1</v>
      </c>
      <c r="G2" s="4" t="str">
        <f>ifna(if(vlookup(A2,Export!B:B,1,0)&lt;&gt;"","OK"),"")</f>
        <v>OK</v>
      </c>
      <c r="H2" s="4" t="str">
        <f>vlookup(A2,Status!A:C,3,0)</f>
        <v/>
      </c>
      <c r="I2" s="4" t="str">
        <f>IFERROR(__xludf.DUMMYFUNCTION("IF(or(D2="""",J2=0,L2=""0:""),"""",IFNA(INDEX(FILTER(Blocks!$A$2:$A1006,
                   Blocks!$E$2:$E1006&gt;=D2,
                   Blocks!$F$2:$F1006&gt;=E2,
                   Blocks!$D$2:$D1006&gt;=J2),1),""X""))"),"BH")</f>
        <v>BH</v>
      </c>
      <c r="J2" s="2">
        <f t="shared" ref="J2:J50" si="1">left(K2,find(":",K2)-1)+left(L2,find(":",L2)-1)+left(M2,find(":",M2)-1)+left(N2,find(":",N2)-1)+left(O2,find(":",O2)-1)+left(P2,find(":",P2)-1)+left(Q2,find(":",Q2)-1)+left(R2,find(":",R2)-1)</f>
        <v>12</v>
      </c>
      <c r="K2" s="2" t="s">
        <v>142</v>
      </c>
      <c r="L2" s="2" t="s">
        <v>143</v>
      </c>
      <c r="M2" s="2" t="s">
        <v>144</v>
      </c>
      <c r="N2" s="2" t="s">
        <v>146</v>
      </c>
      <c r="O2" s="2" t="s">
        <v>147</v>
      </c>
      <c r="P2" s="2" t="s">
        <v>146</v>
      </c>
      <c r="Q2" s="2" t="s">
        <v>146</v>
      </c>
      <c r="R2" s="2" t="s">
        <v>146</v>
      </c>
      <c r="S2" s="2" t="s">
        <v>148</v>
      </c>
    </row>
    <row r="3">
      <c r="A3" s="2" t="s">
        <v>15</v>
      </c>
      <c r="B3" s="2" t="s">
        <v>26</v>
      </c>
      <c r="C3" s="2" t="s">
        <v>151</v>
      </c>
      <c r="D3" s="2">
        <v>1110.0</v>
      </c>
      <c r="E3" s="2">
        <v>1110.0</v>
      </c>
      <c r="F3" s="4" t="b">
        <f>IFERROR(and(vlookup(D3,Blocks!E$2:E$12,1,0),vlookup(E3,Blocks!F$2:F$12,1,0)),false)</f>
        <v>1</v>
      </c>
      <c r="G3" s="4" t="str">
        <f>ifna(if(vlookup(A3,Export!B:B,1,0)&lt;&gt;"","OK"),"")</f>
        <v>OK</v>
      </c>
      <c r="H3" s="4" t="str">
        <f>vlookup(A3,Status!A:C,3,0)</f>
        <v/>
      </c>
      <c r="I3" s="4" t="str">
        <f>IFERROR(__xludf.DUMMYFUNCTION("IF(or(D3="""",J3=0,L3=""0:""),"""",IFNA(INDEX(FILTER(Blocks!$A$2:$A1006,
                   Blocks!$E$2:$E1006&gt;=D3,
                   Blocks!$F$2:$F1006&gt;=E3,
                   Blocks!$D$2:$D1006&gt;=J3),1),""X""))"),"X")</f>
        <v>X</v>
      </c>
      <c r="J3" s="2">
        <f t="shared" si="1"/>
        <v>146</v>
      </c>
      <c r="K3" s="2" t="s">
        <v>176</v>
      </c>
      <c r="L3" s="2" t="s">
        <v>177</v>
      </c>
      <c r="M3" s="2" t="s">
        <v>146</v>
      </c>
      <c r="N3" s="2" t="s">
        <v>146</v>
      </c>
      <c r="O3" s="2" t="s">
        <v>178</v>
      </c>
      <c r="P3" s="2" t="s">
        <v>180</v>
      </c>
      <c r="Q3" s="2" t="s">
        <v>182</v>
      </c>
      <c r="R3" s="2" t="s">
        <v>146</v>
      </c>
      <c r="S3" s="2" t="s">
        <v>146</v>
      </c>
    </row>
    <row r="4">
      <c r="A4" s="2" t="s">
        <v>17</v>
      </c>
      <c r="B4" s="2" t="s">
        <v>49</v>
      </c>
      <c r="C4" s="2" t="s">
        <v>185</v>
      </c>
      <c r="D4" s="2">
        <v>1110.0</v>
      </c>
      <c r="E4" s="2">
        <v>550.0</v>
      </c>
      <c r="F4" s="4" t="b">
        <f>IFERROR(and(vlookup(D4,Blocks!E$2:E$12,1,0),vlookup(E4,Blocks!F$2:F$12,1,0)),false)</f>
        <v>1</v>
      </c>
      <c r="G4" s="4" t="str">
        <f>ifna(if(vlookup(A4,Export!B:B,1,0)&lt;&gt;"","OK"),"")</f>
        <v>OK</v>
      </c>
      <c r="H4" s="4" t="str">
        <f>vlookup(A4,Status!A:C,3,0)</f>
        <v/>
      </c>
      <c r="I4" s="4" t="str">
        <f>IFERROR(__xludf.DUMMYFUNCTION("IF(or(D4="""",J4=0,L4=""0:""),"""",IFNA(INDEX(FILTER(Blocks!$A$2:$A1006,
                   Blocks!$E$2:$E1006&gt;=D4,
                   Blocks!$F$2:$F1006&gt;=E4,
                   Blocks!$D$2:$D1006&gt;=J4),1),""X""))"),"BH")</f>
        <v>BH</v>
      </c>
      <c r="J4" s="2">
        <f t="shared" si="1"/>
        <v>16</v>
      </c>
      <c r="K4" s="2" t="s">
        <v>176</v>
      </c>
      <c r="L4" s="2" t="s">
        <v>177</v>
      </c>
      <c r="M4" s="2" t="s">
        <v>146</v>
      </c>
      <c r="N4" s="2" t="s">
        <v>146</v>
      </c>
      <c r="O4" s="2" t="s">
        <v>203</v>
      </c>
      <c r="P4" s="2" t="s">
        <v>180</v>
      </c>
      <c r="Q4" s="2" t="s">
        <v>205</v>
      </c>
      <c r="R4" s="2" t="s">
        <v>146</v>
      </c>
      <c r="S4" s="2" t="s">
        <v>216</v>
      </c>
    </row>
    <row r="5">
      <c r="A5" s="2" t="s">
        <v>19</v>
      </c>
      <c r="B5" s="2" t="s">
        <v>68</v>
      </c>
      <c r="C5" s="2" t="s">
        <v>218</v>
      </c>
      <c r="D5" s="2">
        <v>1110.0</v>
      </c>
      <c r="E5" s="2">
        <v>1110.0</v>
      </c>
      <c r="F5" s="4" t="b">
        <f>IFERROR(and(vlookup(D5,Blocks!E$2:E$12,1,0),vlookup(E5,Blocks!F$2:F$12,1,0)),false)</f>
        <v>1</v>
      </c>
      <c r="G5" s="4" t="str">
        <f>ifna(if(vlookup(A5,Export!B:B,1,0)&lt;&gt;"","OK"),"")</f>
        <v>OK</v>
      </c>
      <c r="H5" s="4" t="str">
        <f>vlookup(A5,Status!A:C,3,0)</f>
        <v/>
      </c>
      <c r="I5" s="4" t="str">
        <f>IFERROR(__xludf.DUMMYFUNCTION("IF(or(D5="""",J5=0,L5=""0:""),"""",IFNA(INDEX(FILTER(Blocks!$A$2:$A1006,
                   Blocks!$E$2:$E1006&gt;=D5,
                   Blocks!$F$2:$F1006&gt;=E5,
                   Blocks!$D$2:$D1006&gt;=J5),1),""X""))"),"A")</f>
        <v>A</v>
      </c>
      <c r="J5" s="2">
        <f t="shared" si="1"/>
        <v>14</v>
      </c>
      <c r="K5" s="2" t="s">
        <v>176</v>
      </c>
      <c r="L5" s="2" t="s">
        <v>177</v>
      </c>
      <c r="M5" s="2" t="s">
        <v>146</v>
      </c>
      <c r="N5" s="2" t="s">
        <v>146</v>
      </c>
      <c r="O5" s="2" t="s">
        <v>239</v>
      </c>
      <c r="P5" s="2" t="s">
        <v>241</v>
      </c>
      <c r="Q5" s="2" t="s">
        <v>243</v>
      </c>
      <c r="R5" s="2" t="s">
        <v>146</v>
      </c>
      <c r="S5" s="2" t="s">
        <v>146</v>
      </c>
    </row>
    <row r="6">
      <c r="A6" s="2" t="s">
        <v>24</v>
      </c>
      <c r="B6" s="2" t="s">
        <v>84</v>
      </c>
      <c r="C6" s="2" t="s">
        <v>248</v>
      </c>
      <c r="D6" s="2">
        <v>550.0</v>
      </c>
      <c r="E6" s="2">
        <v>1110.0</v>
      </c>
      <c r="F6" s="4" t="b">
        <f>IFERROR(and(vlookup(D6,Blocks!E$2:E$12,1,0),vlookup(E6,Blocks!F$2:F$12,1,0)),false)</f>
        <v>1</v>
      </c>
      <c r="G6" s="4" t="str">
        <f>ifna(if(vlookup(A6,Export!B:B,1,0)&lt;&gt;"","OK"),"")</f>
        <v>OK</v>
      </c>
      <c r="H6" s="4" t="str">
        <f>vlookup(A6,Status!A:C,3,0)</f>
        <v/>
      </c>
      <c r="I6" s="4" t="str">
        <f>IFERROR(__xludf.DUMMYFUNCTION("IF(or(D6="""",J6=0,L6=""0:""),"""",IFNA(INDEX(FILTER(Blocks!$A$2:$A1006,
                   Blocks!$E$2:$E1006&gt;=D6,
                   Blocks!$F$2:$F1006&gt;=E6,
                   Blocks!$D$2:$D1006&gt;=J6),1),""X""))"),"BV")</f>
        <v>BV</v>
      </c>
      <c r="J6" s="2">
        <f t="shared" si="1"/>
        <v>13</v>
      </c>
      <c r="K6" s="2" t="s">
        <v>176</v>
      </c>
      <c r="L6" s="2" t="s">
        <v>177</v>
      </c>
      <c r="M6" s="2" t="s">
        <v>146</v>
      </c>
      <c r="N6" s="2" t="s">
        <v>146</v>
      </c>
      <c r="O6" s="2" t="s">
        <v>267</v>
      </c>
      <c r="P6" s="2" t="s">
        <v>241</v>
      </c>
      <c r="Q6" s="2" t="s">
        <v>268</v>
      </c>
      <c r="R6" s="2" t="s">
        <v>146</v>
      </c>
      <c r="S6" s="2" t="s">
        <v>146</v>
      </c>
    </row>
    <row r="7">
      <c r="A7" s="2" t="s">
        <v>28</v>
      </c>
      <c r="B7" s="2" t="s">
        <v>102</v>
      </c>
      <c r="C7" s="2" t="s">
        <v>269</v>
      </c>
      <c r="D7" s="2">
        <v>1110.0</v>
      </c>
      <c r="E7" s="2">
        <v>1110.0</v>
      </c>
      <c r="F7" s="4" t="b">
        <f>IFERROR(and(vlookup(D7,Blocks!E$2:E$12,1,0),vlookup(E7,Blocks!F$2:F$12,1,0)),false)</f>
        <v>1</v>
      </c>
      <c r="G7" s="4" t="str">
        <f>ifna(if(vlookup(A7,Export!B:B,1,0)&lt;&gt;"","OK"),"")</f>
        <v>OK</v>
      </c>
      <c r="H7" s="4" t="str">
        <f>vlookup(A7,Status!A:C,3,0)</f>
        <v/>
      </c>
      <c r="I7" s="4" t="str">
        <f>IFERROR(__xludf.DUMMYFUNCTION("IF(or(D7="""",J7=0,L7=""0:""),"""",IFNA(INDEX(FILTER(Blocks!$A$2:$A1006,
                   Blocks!$E$2:$E1006&gt;=D7,
                   Blocks!$F$2:$F1006&gt;=E7,
                   Blocks!$D$2:$D1006&gt;=J7),1),""X""))"),"A")</f>
        <v>A</v>
      </c>
      <c r="J7" s="2">
        <f t="shared" si="1"/>
        <v>8</v>
      </c>
      <c r="K7" s="2" t="s">
        <v>176</v>
      </c>
      <c r="L7" s="2" t="s">
        <v>177</v>
      </c>
      <c r="M7" s="2" t="s">
        <v>146</v>
      </c>
      <c r="N7" s="2" t="s">
        <v>146</v>
      </c>
      <c r="O7" s="2" t="s">
        <v>146</v>
      </c>
      <c r="P7" s="2" t="s">
        <v>146</v>
      </c>
      <c r="Q7" s="2" t="s">
        <v>146</v>
      </c>
      <c r="R7" s="2" t="s">
        <v>285</v>
      </c>
      <c r="S7" s="2" t="s">
        <v>146</v>
      </c>
    </row>
    <row r="8">
      <c r="A8" s="2" t="s">
        <v>30</v>
      </c>
      <c r="B8" s="2" t="s">
        <v>115</v>
      </c>
      <c r="C8" s="2" t="s">
        <v>286</v>
      </c>
      <c r="D8" s="19">
        <v>1650.0</v>
      </c>
      <c r="E8" s="19">
        <v>1100.0</v>
      </c>
      <c r="F8" s="4" t="b">
        <f>IFERROR(and(vlookup(D8,Blocks!E$2:E$12,1,0),vlookup(E8,Blocks!F$2:F$12,1,0)),false)</f>
        <v>0</v>
      </c>
      <c r="G8" s="4" t="str">
        <f>ifna(if(vlookup(A8,Export!B:B,1,0)&lt;&gt;"","OK"),"")</f>
        <v>OK</v>
      </c>
      <c r="H8" s="4" t="str">
        <f>vlookup(A8,Status!A:C,3,0)</f>
        <v/>
      </c>
      <c r="I8" s="4" t="str">
        <f>IFERROR(__xludf.DUMMYFUNCTION("IF(or(D8="""",J8=0,L8=""0:""),"""",IFNA(INDEX(FILTER(Blocks!$A$2:$A1006,
                   Blocks!$E$2:$E1006&gt;=D8,
                   Blocks!$F$2:$F1006&gt;=E8,
                   Blocks!$D$2:$D1006&gt;=J8),1),""X""))"),"ACV")</f>
        <v>ACV</v>
      </c>
      <c r="J8" s="2">
        <f t="shared" si="1"/>
        <v>22</v>
      </c>
      <c r="K8" s="2" t="s">
        <v>176</v>
      </c>
      <c r="L8" s="2" t="s">
        <v>177</v>
      </c>
      <c r="M8" s="2" t="s">
        <v>146</v>
      </c>
      <c r="N8" s="2" t="s">
        <v>146</v>
      </c>
      <c r="O8" s="2" t="s">
        <v>308</v>
      </c>
      <c r="P8" s="2" t="s">
        <v>309</v>
      </c>
      <c r="Q8" s="2" t="s">
        <v>311</v>
      </c>
      <c r="R8" s="2" t="s">
        <v>146</v>
      </c>
      <c r="S8" s="2" t="s">
        <v>315</v>
      </c>
      <c r="T8" s="2" t="s">
        <v>317</v>
      </c>
    </row>
    <row r="9">
      <c r="A9" s="2" t="s">
        <v>32</v>
      </c>
      <c r="B9" s="2" t="s">
        <v>121</v>
      </c>
      <c r="C9" s="2" t="s">
        <v>318</v>
      </c>
      <c r="D9" s="19">
        <v>514.25</v>
      </c>
      <c r="E9" s="19">
        <v>549.7</v>
      </c>
      <c r="F9" s="4" t="b">
        <f>IFERROR(and(vlookup(D9,Blocks!E$2:E$12,1,0),vlookup(E9,Blocks!F$2:F$12,1,0)),false)</f>
        <v>0</v>
      </c>
      <c r="G9" s="4" t="str">
        <f>ifna(if(vlookup(A9,Export!B:B,1,0)&lt;&gt;"","OK"),"")</f>
        <v>OK</v>
      </c>
      <c r="H9" s="4" t="str">
        <f>vlookup(A9,Status!A:C,3,0)</f>
        <v/>
      </c>
      <c r="I9" s="4" t="str">
        <f>IFERROR(__xludf.DUMMYFUNCTION("IF(or(D9="""",J9=0,L9=""0:""),"""",IFNA(INDEX(FILTER(Blocks!$A$2:$A1006,
                   Blocks!$E$2:$E1006&gt;=D9,
                   Blocks!$F$2:$F1006&gt;=E9,
                   Blocks!$D$2:$D1006&gt;=J9),1),""X""))"),"BV")</f>
        <v>BV</v>
      </c>
      <c r="J9" s="2">
        <f t="shared" si="1"/>
        <v>14</v>
      </c>
      <c r="K9" s="2" t="s">
        <v>176</v>
      </c>
      <c r="L9" s="2" t="s">
        <v>177</v>
      </c>
      <c r="M9" s="2" t="s">
        <v>146</v>
      </c>
      <c r="N9" s="2" t="s">
        <v>337</v>
      </c>
      <c r="O9" s="2" t="s">
        <v>338</v>
      </c>
      <c r="P9" s="2" t="s">
        <v>339</v>
      </c>
      <c r="Q9" s="2" t="s">
        <v>340</v>
      </c>
      <c r="R9" s="2" t="s">
        <v>146</v>
      </c>
      <c r="S9" s="2" t="s">
        <v>146</v>
      </c>
    </row>
    <row r="10">
      <c r="A10" s="2" t="s">
        <v>37</v>
      </c>
      <c r="B10" s="2" t="s">
        <v>10</v>
      </c>
      <c r="C10" s="2" t="s">
        <v>58</v>
      </c>
      <c r="D10" s="19">
        <v>2084.0</v>
      </c>
      <c r="E10" s="19">
        <v>2084.0</v>
      </c>
      <c r="F10" s="4" t="b">
        <f>IFERROR(and(vlookup(D10,Blocks!E$2:E$12,1,0),vlookup(E10,Blocks!F$2:F$12,1,0)),false)</f>
        <v>0</v>
      </c>
      <c r="G10" s="4" t="str">
        <f>ifna(if(vlookup(A10,Export!B:B,1,0)&lt;&gt;"","OK"),"")</f>
        <v/>
      </c>
      <c r="H10" s="4" t="str">
        <f>vlookup(A10,Status!A:C,3,0)</f>
        <v/>
      </c>
      <c r="I10" s="4" t="str">
        <f>IFERROR(__xludf.DUMMYFUNCTION("IF(or(D10="""",J10=0,L10=""0:""),"""",IFNA(INDEX(FILTER(Blocks!$A$2:$A1006,
                   Blocks!$E$2:$E1006&gt;=D10,
                   Blocks!$F$2:$F1006&gt;=E10,
                   Blocks!$D$2:$D1006&gt;=J10),1),""X""))"),"ACE2")</f>
        <v>ACE2</v>
      </c>
      <c r="J10" s="2">
        <f t="shared" si="1"/>
        <v>32</v>
      </c>
      <c r="K10" s="2" t="s">
        <v>176</v>
      </c>
      <c r="L10" s="2" t="s">
        <v>177</v>
      </c>
      <c r="M10" s="2" t="s">
        <v>351</v>
      </c>
      <c r="N10" s="2" t="s">
        <v>146</v>
      </c>
      <c r="O10" s="2" t="s">
        <v>352</v>
      </c>
      <c r="P10" s="2" t="s">
        <v>353</v>
      </c>
      <c r="Q10" s="2" t="s">
        <v>146</v>
      </c>
      <c r="R10" s="2" t="s">
        <v>355</v>
      </c>
      <c r="S10" s="2" t="s">
        <v>356</v>
      </c>
      <c r="T10" s="2" t="s">
        <v>357</v>
      </c>
    </row>
    <row r="11">
      <c r="A11" s="2" t="s">
        <v>39</v>
      </c>
      <c r="B11" s="2" t="s">
        <v>134</v>
      </c>
      <c r="C11" s="2" t="s">
        <v>359</v>
      </c>
      <c r="D11" s="19">
        <v>1100.0</v>
      </c>
      <c r="E11" s="19">
        <v>550.0</v>
      </c>
      <c r="F11" s="4" t="b">
        <f>IFERROR(and(vlookup(D11,Blocks!E$2:E$12,1,0),vlookup(E11,Blocks!F$2:F$12,1,0)),false)</f>
        <v>0</v>
      </c>
      <c r="G11" s="4" t="str">
        <f>ifna(if(vlookup(A11,Export!B:B,1,0)&lt;&gt;"","OK"),"")</f>
        <v>OK</v>
      </c>
      <c r="H11" s="4" t="str">
        <f>vlookup(A11,Status!A:C,3,0)</f>
        <v/>
      </c>
      <c r="I11" s="4" t="str">
        <f>IFERROR(__xludf.DUMMYFUNCTION("IF(or(D11="""",J11=0,L11=""0:""),"""",IFNA(INDEX(FILTER(Blocks!$A$2:$A1006,
                   Blocks!$E$2:$E1006&gt;=D11,
                   Blocks!$F$2:$F1006&gt;=E11,
                   Blocks!$D$2:$D1006&gt;=J11),1),""X""))"),"BH")</f>
        <v>BH</v>
      </c>
      <c r="J11" s="2">
        <f t="shared" si="1"/>
        <v>9</v>
      </c>
      <c r="K11" s="2" t="s">
        <v>368</v>
      </c>
      <c r="L11" s="2" t="s">
        <v>369</v>
      </c>
      <c r="M11" s="2" t="s">
        <v>146</v>
      </c>
      <c r="N11" s="2" t="s">
        <v>146</v>
      </c>
      <c r="O11" s="2" t="s">
        <v>371</v>
      </c>
      <c r="P11" s="2" t="s">
        <v>146</v>
      </c>
      <c r="Q11" s="2" t="s">
        <v>146</v>
      </c>
      <c r="R11" s="2" t="s">
        <v>372</v>
      </c>
      <c r="S11" s="2" t="s">
        <v>373</v>
      </c>
      <c r="T11" s="2" t="s">
        <v>375</v>
      </c>
    </row>
    <row r="12">
      <c r="A12" s="2" t="s">
        <v>42</v>
      </c>
      <c r="B12" s="2" t="s">
        <v>145</v>
      </c>
      <c r="C12" s="2" t="s">
        <v>376</v>
      </c>
      <c r="D12" s="3"/>
      <c r="E12" s="3"/>
      <c r="F12" s="4" t="b">
        <f>IFERROR(and(vlookup(D12,Blocks!E$2:E$12,1,0),vlookup(E12,Blocks!F$2:F$12,1,0)),false)</f>
        <v>0</v>
      </c>
      <c r="G12" s="4" t="str">
        <f>ifna(if(vlookup(A12,Export!B:B,1,0)&lt;&gt;"","OK"),"")</f>
        <v/>
      </c>
      <c r="H12" s="4" t="str">
        <f>vlookup(A12,Status!A:C,3,0)</f>
        <v/>
      </c>
      <c r="I12" s="4" t="str">
        <f>IFERROR(__xludf.DUMMYFUNCTION("IF(or(D12="""",J12=0,L12=""0:""),"""",IFNA(INDEX(FILTER(Blocks!$A$2:$A1006,
                   Blocks!$E$2:$E1006&gt;=D12,
                   Blocks!$F$2:$F1006&gt;=E12,
                   Blocks!$D$2:$D1006&gt;=J12),1),""X""))"),"")</f>
        <v/>
      </c>
      <c r="J12" s="2">
        <f t="shared" si="1"/>
        <v>18</v>
      </c>
      <c r="K12" s="2" t="s">
        <v>176</v>
      </c>
      <c r="L12" s="2" t="s">
        <v>177</v>
      </c>
      <c r="M12" s="2" t="s">
        <v>146</v>
      </c>
      <c r="N12" s="2" t="s">
        <v>402</v>
      </c>
      <c r="O12" s="2" t="s">
        <v>404</v>
      </c>
      <c r="P12" s="2" t="s">
        <v>146</v>
      </c>
      <c r="Q12" s="2" t="s">
        <v>406</v>
      </c>
      <c r="R12" s="2" t="s">
        <v>146</v>
      </c>
      <c r="S12" s="2" t="s">
        <v>146</v>
      </c>
      <c r="T12" s="2" t="s">
        <v>409</v>
      </c>
    </row>
    <row r="13">
      <c r="A13" s="2" t="s">
        <v>45</v>
      </c>
      <c r="B13" s="2" t="s">
        <v>163</v>
      </c>
      <c r="C13" s="2" t="s">
        <v>412</v>
      </c>
      <c r="D13" s="3"/>
      <c r="E13" s="3"/>
      <c r="F13" s="4" t="b">
        <f>IFERROR(and(vlookup(D13,Blocks!E$2:E$12,1,0),vlookup(E13,Blocks!F$2:F$12,1,0)),false)</f>
        <v>0</v>
      </c>
      <c r="G13" s="4" t="str">
        <f>ifna(if(vlookup(A13,Export!B:B,1,0)&lt;&gt;"","OK"),"")</f>
        <v/>
      </c>
      <c r="H13" s="4" t="str">
        <f>vlookup(A13,Status!A:C,3,0)</f>
        <v/>
      </c>
      <c r="I13" s="4" t="str">
        <f>IFERROR(__xludf.DUMMYFUNCTION("IF(or(D13="""",J13=0,L13=""0:""),"""",IFNA(INDEX(FILTER(Blocks!$A$2:$A1006,
                   Blocks!$E$2:$E1006&gt;=D13,
                   Blocks!$F$2:$F1006&gt;=E13,
                   Blocks!$D$2:$D1006&gt;=J13),1),""X""))"),"")</f>
        <v/>
      </c>
      <c r="J13" s="2">
        <f t="shared" si="1"/>
        <v>0</v>
      </c>
      <c r="K13" s="2" t="s">
        <v>146</v>
      </c>
      <c r="L13" s="2" t="s">
        <v>146</v>
      </c>
      <c r="M13" s="2" t="s">
        <v>146</v>
      </c>
      <c r="N13" s="2" t="s">
        <v>146</v>
      </c>
      <c r="O13" s="2" t="s">
        <v>146</v>
      </c>
      <c r="P13" s="2" t="s">
        <v>146</v>
      </c>
      <c r="Q13" s="2" t="s">
        <v>146</v>
      </c>
      <c r="R13" s="2" t="s">
        <v>146</v>
      </c>
      <c r="S13" s="2" t="s">
        <v>146</v>
      </c>
      <c r="T13" s="2" t="s">
        <v>446</v>
      </c>
    </row>
    <row r="14">
      <c r="A14" s="2" t="s">
        <v>48</v>
      </c>
      <c r="B14" s="2" t="s">
        <v>172</v>
      </c>
      <c r="C14" s="2" t="s">
        <v>448</v>
      </c>
      <c r="D14" s="19">
        <v>1100.0</v>
      </c>
      <c r="E14" s="19">
        <v>1100.0</v>
      </c>
      <c r="F14" s="4" t="b">
        <f>IFERROR(and(vlookup(D14,Blocks!E$2:E$12,1,0),vlookup(E14,Blocks!F$2:F$12,1,0)),false)</f>
        <v>0</v>
      </c>
      <c r="G14" s="4" t="str">
        <f>ifna(if(vlookup(A14,Export!B:B,1,0)&lt;&gt;"","OK"),"")</f>
        <v>OK</v>
      </c>
      <c r="H14" s="4" t="str">
        <f>vlookup(A14,Status!A:C,3,0)</f>
        <v/>
      </c>
      <c r="I14" s="4" t="str">
        <f>IFERROR(__xludf.DUMMYFUNCTION("IF(or(D14="""",J14=0,L14=""0:""),"""",IFNA(INDEX(FILTER(Blocks!$A$2:$A1006,
                   Blocks!$E$2:$E1006&gt;=D14,
                   Blocks!$F$2:$F1006&gt;=E14,
                   Blocks!$D$2:$D1006&gt;=J14),1),""X""))"),"A")</f>
        <v>A</v>
      </c>
      <c r="J14" s="2">
        <f t="shared" si="1"/>
        <v>18</v>
      </c>
      <c r="K14" s="2" t="s">
        <v>176</v>
      </c>
      <c r="L14" s="2" t="s">
        <v>177</v>
      </c>
      <c r="M14" s="2" t="s">
        <v>146</v>
      </c>
      <c r="N14" s="2" t="s">
        <v>146</v>
      </c>
      <c r="O14" s="2" t="s">
        <v>483</v>
      </c>
      <c r="P14" s="2" t="s">
        <v>241</v>
      </c>
      <c r="Q14" s="2" t="s">
        <v>485</v>
      </c>
      <c r="R14" s="2" t="s">
        <v>486</v>
      </c>
      <c r="S14" s="2" t="s">
        <v>146</v>
      </c>
    </row>
    <row r="15">
      <c r="A15" s="2" t="s">
        <v>52</v>
      </c>
      <c r="B15" s="2" t="s">
        <v>186</v>
      </c>
      <c r="C15" s="2" t="s">
        <v>490</v>
      </c>
      <c r="D15" s="2">
        <v>1675.0</v>
      </c>
      <c r="E15" s="2">
        <v>1675.0</v>
      </c>
      <c r="F15" s="4" t="b">
        <f>IFERROR(and(vlookup(D15,Blocks!E$2:E$12,1,0),vlookup(E15,Blocks!F$2:F$12,1,0)),false)</f>
        <v>1</v>
      </c>
      <c r="G15" s="4" t="str">
        <f>ifna(if(vlookup(A15,Export!B:B,1,0)&lt;&gt;"","OK"),"")</f>
        <v>OK</v>
      </c>
      <c r="H15" s="4" t="str">
        <f>vlookup(A15,Status!A:C,3,0)</f>
        <v/>
      </c>
      <c r="I15" s="4" t="str">
        <f>IFERROR(__xludf.DUMMYFUNCTION("IF(or(D15="""",J15=0,L15=""0:""),"""",IFNA(INDEX(FILTER(Blocks!$A$2:$A1006,
                   Blocks!$E$2:$E1006&gt;=D15,
                   Blocks!$F$2:$F1006&gt;=E15,
                   Blocks!$D$2:$D1006&gt;=J15),1),""X""))"),"ACE")</f>
        <v>ACE</v>
      </c>
      <c r="J15" s="2">
        <f t="shared" si="1"/>
        <v>16</v>
      </c>
      <c r="K15" s="2" t="s">
        <v>176</v>
      </c>
      <c r="L15" s="2" t="s">
        <v>177</v>
      </c>
      <c r="M15" s="2" t="s">
        <v>146</v>
      </c>
      <c r="N15" s="2" t="s">
        <v>146</v>
      </c>
      <c r="O15" s="2" t="s">
        <v>542</v>
      </c>
      <c r="P15" s="2" t="s">
        <v>180</v>
      </c>
      <c r="Q15" s="2" t="s">
        <v>544</v>
      </c>
      <c r="R15" s="2" t="s">
        <v>146</v>
      </c>
      <c r="S15" s="2" t="s">
        <v>146</v>
      </c>
    </row>
    <row r="16">
      <c r="A16" s="2" t="s">
        <v>56</v>
      </c>
      <c r="B16" s="2" t="s">
        <v>204</v>
      </c>
      <c r="C16" s="2" t="s">
        <v>551</v>
      </c>
      <c r="D16" s="19">
        <v>1000.0</v>
      </c>
      <c r="E16" s="19">
        <v>1000.0</v>
      </c>
      <c r="F16" s="4" t="b">
        <f>IFERROR(and(vlookup(D16,Blocks!E$2:E$12,1,0),vlookup(E16,Blocks!F$2:F$12,1,0)),false)</f>
        <v>0</v>
      </c>
      <c r="G16" s="4" t="str">
        <f>ifna(if(vlookup(A16,Export!B:B,1,0)&lt;&gt;"","OK"),"")</f>
        <v>OK</v>
      </c>
      <c r="H16" s="4" t="str">
        <f>vlookup(A16,Status!A:C,3,0)</f>
        <v/>
      </c>
      <c r="I16" s="4" t="str">
        <f>IFERROR(__xludf.DUMMYFUNCTION("IF(or(D16="""",J16=0,L16=""0:""),"""",IFNA(INDEX(FILTER(Blocks!$A$2:$A1006,
                   Blocks!$E$2:$E1006&gt;=D16,
                   Blocks!$F$2:$F1006&gt;=E16,
                   Blocks!$D$2:$D1006&gt;=J16),1),""X""))"),"A")</f>
        <v>A</v>
      </c>
      <c r="J16" s="2">
        <f t="shared" si="1"/>
        <v>6</v>
      </c>
      <c r="K16" s="2" t="s">
        <v>176</v>
      </c>
      <c r="L16" s="2" t="s">
        <v>177</v>
      </c>
      <c r="M16" s="2" t="s">
        <v>146</v>
      </c>
      <c r="N16" s="2" t="s">
        <v>146</v>
      </c>
      <c r="O16" s="2" t="s">
        <v>567</v>
      </c>
      <c r="P16" s="2" t="s">
        <v>146</v>
      </c>
      <c r="Q16" s="2" t="s">
        <v>569</v>
      </c>
      <c r="R16" s="2" t="s">
        <v>146</v>
      </c>
      <c r="S16" s="2" t="s">
        <v>146</v>
      </c>
    </row>
    <row r="17">
      <c r="A17" s="2" t="s">
        <v>59</v>
      </c>
      <c r="B17" s="2" t="s">
        <v>220</v>
      </c>
      <c r="C17" s="2" t="s">
        <v>571</v>
      </c>
      <c r="D17" s="19">
        <v>1650.0</v>
      </c>
      <c r="E17" s="19">
        <v>1100.0</v>
      </c>
      <c r="F17" s="4" t="b">
        <f>IFERROR(and(vlookup(D17,Blocks!E$2:E$12,1,0),vlookup(E17,Blocks!F$2:F$12,1,0)),false)</f>
        <v>0</v>
      </c>
      <c r="G17" s="4" t="str">
        <f>ifna(if(vlookup(A17,Export!B:B,1,0)&lt;&gt;"","OK"),"")</f>
        <v>OK</v>
      </c>
      <c r="H17" s="4" t="str">
        <f>vlookup(A17,Status!A:C,3,0)</f>
        <v/>
      </c>
      <c r="I17" s="4" t="str">
        <f>IFERROR(__xludf.DUMMYFUNCTION("IF(or(D17="""",J17=0,L17=""0:""),"""",IFNA(INDEX(FILTER(Blocks!$A$2:$A1006,
                   Blocks!$E$2:$E1006&gt;=D17,
                   Blocks!$F$2:$F1006&gt;=E17,
                   Blocks!$D$2:$D1006&gt;=J17),1),""X""))"),"ACV")</f>
        <v>ACV</v>
      </c>
      <c r="J17" s="2">
        <f t="shared" si="1"/>
        <v>25</v>
      </c>
      <c r="K17" s="2" t="s">
        <v>176</v>
      </c>
      <c r="L17" s="2" t="s">
        <v>177</v>
      </c>
      <c r="M17" s="2" t="s">
        <v>146</v>
      </c>
      <c r="N17" s="2" t="s">
        <v>146</v>
      </c>
      <c r="O17" s="2" t="s">
        <v>582</v>
      </c>
      <c r="P17" s="2" t="s">
        <v>583</v>
      </c>
      <c r="Q17" s="2" t="s">
        <v>585</v>
      </c>
      <c r="R17" s="2" t="s">
        <v>586</v>
      </c>
      <c r="S17" s="2" t="s">
        <v>587</v>
      </c>
      <c r="T17" s="2" t="s">
        <v>588</v>
      </c>
    </row>
    <row r="18">
      <c r="A18" s="2" t="s">
        <v>60</v>
      </c>
      <c r="B18" s="2" t="s">
        <v>225</v>
      </c>
      <c r="C18" s="2" t="s">
        <v>590</v>
      </c>
      <c r="D18" s="19">
        <v>1400.0</v>
      </c>
      <c r="E18" s="19">
        <v>500.0</v>
      </c>
      <c r="F18" s="4" t="b">
        <f>IFERROR(and(vlookup(D18,Blocks!E$2:E$12,1,0),vlookup(E18,Blocks!F$2:F$12,1,0)),false)</f>
        <v>0</v>
      </c>
      <c r="G18" s="4" t="str">
        <f>ifna(if(vlookup(A18,Export!B:B,1,0)&lt;&gt;"","OK"),"")</f>
        <v>OK</v>
      </c>
      <c r="H18" s="4" t="str">
        <f>vlookup(A18,Status!A:C,3,0)</f>
        <v/>
      </c>
      <c r="I18" s="4" t="str">
        <f>IFERROR(__xludf.DUMMYFUNCTION("IF(or(D18="""",J18=0,L18=""0:""),"""",IFNA(INDEX(FILTER(Blocks!$A$2:$A1006,
                   Blocks!$E$2:$E1006&gt;=D18,
                   Blocks!$F$2:$F1006&gt;=E18,
                   Blocks!$D$2:$D1006&gt;=J18),1),""X""))"),"ACV")</f>
        <v>ACV</v>
      </c>
      <c r="J18" s="2">
        <f t="shared" si="1"/>
        <v>10</v>
      </c>
      <c r="K18" s="2" t="s">
        <v>176</v>
      </c>
      <c r="L18" s="2" t="s">
        <v>177</v>
      </c>
      <c r="M18" s="2" t="s">
        <v>598</v>
      </c>
      <c r="N18" s="2" t="s">
        <v>146</v>
      </c>
      <c r="O18" s="2" t="s">
        <v>599</v>
      </c>
      <c r="P18" s="2" t="s">
        <v>600</v>
      </c>
      <c r="Q18" s="2" t="s">
        <v>601</v>
      </c>
      <c r="R18" s="2" t="s">
        <v>146</v>
      </c>
      <c r="S18" s="2" t="s">
        <v>146</v>
      </c>
      <c r="T18" s="2" t="s">
        <v>602</v>
      </c>
    </row>
    <row r="19">
      <c r="A19" s="2" t="s">
        <v>62</v>
      </c>
      <c r="B19" s="2" t="s">
        <v>232</v>
      </c>
      <c r="C19" s="2" t="s">
        <v>603</v>
      </c>
      <c r="D19" s="19">
        <v>1000.0</v>
      </c>
      <c r="E19" s="19">
        <v>1000.0</v>
      </c>
      <c r="F19" s="4" t="b">
        <f>IFERROR(and(vlookup(D19,Blocks!E$2:E$12,1,0),vlookup(E19,Blocks!F$2:F$12,1,0)),false)</f>
        <v>0</v>
      </c>
      <c r="G19" s="4" t="str">
        <f>ifna(if(vlookup(A19,Export!B:B,1,0)&lt;&gt;"","OK"),"")</f>
        <v>OK</v>
      </c>
      <c r="H19" s="4" t="str">
        <f>vlookup(A19,Status!A:C,3,0)</f>
        <v/>
      </c>
      <c r="I19" s="4" t="str">
        <f>IFERROR(__xludf.DUMMYFUNCTION("IF(or(D19="""",J19=0,L19=""0:""),"""",IFNA(INDEX(FILTER(Blocks!$A$2:$A1006,
                   Blocks!$E$2:$E1006&gt;=D19,
                   Blocks!$F$2:$F1006&gt;=E19,
                   Blocks!$D$2:$D1006&gt;=J19),1),""X""))"),"A")</f>
        <v>A</v>
      </c>
      <c r="J19" s="2">
        <f t="shared" si="1"/>
        <v>15</v>
      </c>
      <c r="K19" s="2" t="s">
        <v>176</v>
      </c>
      <c r="L19" s="2" t="s">
        <v>614</v>
      </c>
      <c r="M19" s="2" t="s">
        <v>146</v>
      </c>
      <c r="N19" s="2" t="s">
        <v>616</v>
      </c>
      <c r="O19" s="2" t="s">
        <v>617</v>
      </c>
      <c r="P19" s="2" t="s">
        <v>146</v>
      </c>
      <c r="Q19" s="2" t="s">
        <v>618</v>
      </c>
      <c r="R19" s="2" t="s">
        <v>146</v>
      </c>
      <c r="S19" s="2" t="s">
        <v>619</v>
      </c>
    </row>
    <row r="20">
      <c r="A20" s="2" t="s">
        <v>63</v>
      </c>
      <c r="B20" s="2" t="s">
        <v>246</v>
      </c>
      <c r="C20" s="2" t="s">
        <v>621</v>
      </c>
      <c r="D20" s="19">
        <v>1100.0</v>
      </c>
      <c r="E20" s="19">
        <v>1100.0</v>
      </c>
      <c r="F20" s="4" t="b">
        <f>IFERROR(and(vlookup(D20,Blocks!E$2:E$12,1,0),vlookup(E20,Blocks!F$2:F$12,1,0)),false)</f>
        <v>0</v>
      </c>
      <c r="G20" s="4" t="str">
        <f>ifna(if(vlookup(A20,Export!B:B,1,0)&lt;&gt;"","OK"),"")</f>
        <v/>
      </c>
      <c r="H20" s="4" t="str">
        <f>vlookup(A20,Status!A:C,3,0)</f>
        <v/>
      </c>
      <c r="I20" s="4" t="str">
        <f>IFERROR(__xludf.DUMMYFUNCTION("IF(or(D20="""",J20=0,L20=""0:""),"""",IFNA(INDEX(FILTER(Blocks!$A$2:$A1006,
                   Blocks!$E$2:$E1006&gt;=D20,
                   Blocks!$F$2:$F1006&gt;=E20,
                   Blocks!$D$2:$D1006&gt;=J20),1),""X""))"),"A")</f>
        <v>A</v>
      </c>
      <c r="J20" s="2">
        <f t="shared" si="1"/>
        <v>22</v>
      </c>
      <c r="K20" s="2" t="s">
        <v>176</v>
      </c>
      <c r="L20" s="2" t="s">
        <v>177</v>
      </c>
      <c r="M20" s="2" t="s">
        <v>146</v>
      </c>
      <c r="N20" s="2" t="s">
        <v>146</v>
      </c>
      <c r="O20" s="2" t="s">
        <v>632</v>
      </c>
      <c r="P20" s="2" t="s">
        <v>309</v>
      </c>
      <c r="Q20" s="2" t="s">
        <v>633</v>
      </c>
      <c r="R20" s="2" t="s">
        <v>146</v>
      </c>
      <c r="S20" s="2" t="s">
        <v>146</v>
      </c>
    </row>
    <row r="21">
      <c r="A21" s="2" t="s">
        <v>65</v>
      </c>
      <c r="B21" s="2" t="s">
        <v>259</v>
      </c>
      <c r="C21" s="2" t="s">
        <v>635</v>
      </c>
      <c r="D21" s="2">
        <v>550.0</v>
      </c>
      <c r="E21" s="2">
        <v>550.0</v>
      </c>
      <c r="F21" s="4" t="b">
        <f>IFERROR(and(vlookup(D21,Blocks!E$2:E$12,1,0),vlookup(E21,Blocks!F$2:F$12,1,0)),false)</f>
        <v>1</v>
      </c>
      <c r="G21" s="4" t="str">
        <f>ifna(if(vlookup(A21,Export!B:B,1,0)&lt;&gt;"","OK"),"")</f>
        <v/>
      </c>
      <c r="H21" s="4" t="str">
        <f>vlookup(A21,Status!A:C,3,0)</f>
        <v/>
      </c>
      <c r="I21" s="4" t="str">
        <f>IFERROR(__xludf.DUMMYFUNCTION("IF(or(D21="""",J21=0,L21=""0:""),"""",IFNA(INDEX(FILTER(Blocks!$A$2:$A1006,
                   Blocks!$E$2:$E1006&gt;=D21,
                   Blocks!$F$2:$F1006&gt;=E21,
                   Blocks!$D$2:$D1006&gt;=J21),1),""X""))"),"D")</f>
        <v>D</v>
      </c>
      <c r="J21" s="2">
        <f t="shared" si="1"/>
        <v>9</v>
      </c>
      <c r="K21" s="2" t="s">
        <v>176</v>
      </c>
      <c r="L21" s="2" t="s">
        <v>177</v>
      </c>
      <c r="M21" s="2" t="s">
        <v>146</v>
      </c>
      <c r="N21" s="2" t="s">
        <v>146</v>
      </c>
      <c r="O21" s="2" t="s">
        <v>646</v>
      </c>
      <c r="P21" s="2" t="s">
        <v>647</v>
      </c>
      <c r="Q21" s="2" t="s">
        <v>648</v>
      </c>
      <c r="R21" s="2" t="s">
        <v>146</v>
      </c>
      <c r="S21" s="2" t="s">
        <v>146</v>
      </c>
    </row>
    <row r="22">
      <c r="A22" s="2" t="s">
        <v>66</v>
      </c>
      <c r="B22" s="2" t="s">
        <v>270</v>
      </c>
      <c r="C22" s="2" t="s">
        <v>652</v>
      </c>
      <c r="D22" s="3"/>
      <c r="E22" s="3"/>
      <c r="F22" s="4" t="b">
        <f>IFERROR(and(vlookup(D22,Blocks!E$2:E$12,1,0),vlookup(E22,Blocks!F$2:F$12,1,0)),false)</f>
        <v>0</v>
      </c>
      <c r="G22" s="4" t="str">
        <f>ifna(if(vlookup(A22,Export!B:B,1,0)&lt;&gt;"","OK"),"")</f>
        <v>OK</v>
      </c>
      <c r="H22" s="4" t="str">
        <f>vlookup(A22,Status!A:C,3,0)</f>
        <v/>
      </c>
      <c r="I22" s="4" t="str">
        <f>IFERROR(__xludf.DUMMYFUNCTION("IF(or(D22="""",J22=0,L22=""0:""),"""",IFNA(INDEX(FILTER(Blocks!$A$2:$A1006,
                   Blocks!$E$2:$E1006&gt;=D22,
                   Blocks!$F$2:$F1006&gt;=E22,
                   Blocks!$D$2:$D1006&gt;=J22),1),""X""))"),"")</f>
        <v/>
      </c>
      <c r="J22" s="2">
        <f t="shared" si="1"/>
        <v>14</v>
      </c>
      <c r="K22" s="2" t="s">
        <v>659</v>
      </c>
      <c r="L22" s="2" t="s">
        <v>661</v>
      </c>
      <c r="M22" s="2" t="s">
        <v>146</v>
      </c>
      <c r="N22" s="2" t="s">
        <v>662</v>
      </c>
      <c r="O22" s="2" t="s">
        <v>146</v>
      </c>
      <c r="P22" s="2" t="s">
        <v>663</v>
      </c>
      <c r="Q22" s="2" t="s">
        <v>664</v>
      </c>
      <c r="R22" s="2" t="s">
        <v>146</v>
      </c>
      <c r="S22" s="2" t="s">
        <v>146</v>
      </c>
      <c r="T22" s="2" t="s">
        <v>666</v>
      </c>
    </row>
    <row r="23">
      <c r="A23" s="2" t="s">
        <v>67</v>
      </c>
      <c r="B23" s="2" t="s">
        <v>290</v>
      </c>
      <c r="C23" s="2" t="s">
        <v>667</v>
      </c>
      <c r="D23" s="19">
        <v>535.23</v>
      </c>
      <c r="E23" s="19">
        <v>533.55</v>
      </c>
      <c r="F23" s="4" t="b">
        <f>IFERROR(and(vlookup(D23,Blocks!E$2:E$12,1,0),vlookup(E23,Blocks!F$2:F$12,1,0)),false)</f>
        <v>0</v>
      </c>
      <c r="G23" s="4" t="str">
        <f>ifna(if(vlookup(A23,Export!B:B,1,0)&lt;&gt;"","OK"),"")</f>
        <v>OK</v>
      </c>
      <c r="H23" s="4" t="str">
        <f>vlookup(A23,Status!A:C,3,0)</f>
        <v/>
      </c>
      <c r="I23" s="4" t="str">
        <f>IFERROR(__xludf.DUMMYFUNCTION("IF(or(D23="""",J23=0,L23=""0:""),"""",IFNA(INDEX(FILTER(Blocks!$A$2:$A1006,
                   Blocks!$E$2:$E1006&gt;=D23,
                   Blocks!$F$2:$F1006&gt;=E23,
                   Blocks!$D$2:$D1006&gt;=J23),1),""X""))"),"D")</f>
        <v>D</v>
      </c>
      <c r="J23" s="2">
        <f t="shared" si="1"/>
        <v>10</v>
      </c>
      <c r="K23" s="2" t="s">
        <v>176</v>
      </c>
      <c r="L23" s="2" t="s">
        <v>614</v>
      </c>
      <c r="M23" s="2" t="s">
        <v>676</v>
      </c>
      <c r="N23" s="2" t="s">
        <v>146</v>
      </c>
      <c r="O23" s="2" t="s">
        <v>677</v>
      </c>
      <c r="P23" s="2" t="s">
        <v>146</v>
      </c>
      <c r="Q23" s="2" t="s">
        <v>678</v>
      </c>
      <c r="R23" s="2" t="s">
        <v>146</v>
      </c>
      <c r="S23" s="2" t="s">
        <v>146</v>
      </c>
    </row>
    <row r="24">
      <c r="A24" s="2" t="s">
        <v>69</v>
      </c>
      <c r="B24" s="2" t="s">
        <v>301</v>
      </c>
      <c r="C24" s="2" t="s">
        <v>679</v>
      </c>
      <c r="D24" s="19">
        <v>1000.0</v>
      </c>
      <c r="E24" s="19">
        <v>1000.0</v>
      </c>
      <c r="F24" s="4" t="b">
        <f>IFERROR(and(vlookup(D24,Blocks!E$2:E$12,1,0),vlookup(E24,Blocks!F$2:F$12,1,0)),false)</f>
        <v>0</v>
      </c>
      <c r="G24" s="4" t="str">
        <f>ifna(if(vlookup(A24,Export!B:B,1,0)&lt;&gt;"","OK"),"")</f>
        <v>OK</v>
      </c>
      <c r="H24" s="4" t="str">
        <f>vlookup(A24,Status!A:C,3,0)</f>
        <v/>
      </c>
      <c r="I24" s="4" t="str">
        <f>IFERROR(__xludf.DUMMYFUNCTION("IF(or(D24="""",J24=0,L24=""0:""),"""",IFNA(INDEX(FILTER(Blocks!$A$2:$A1006,
                   Blocks!$E$2:$E1006&gt;=D24,
                   Blocks!$F$2:$F1006&gt;=E24,
                   Blocks!$D$2:$D1006&gt;=J24),1),""X""))"),"A")</f>
        <v>A</v>
      </c>
      <c r="J24" s="2">
        <f t="shared" si="1"/>
        <v>22</v>
      </c>
      <c r="K24" s="2" t="s">
        <v>176</v>
      </c>
      <c r="L24" s="2" t="s">
        <v>177</v>
      </c>
      <c r="M24" s="2" t="s">
        <v>146</v>
      </c>
      <c r="N24" s="2" t="s">
        <v>146</v>
      </c>
      <c r="O24" s="2" t="s">
        <v>680</v>
      </c>
      <c r="P24" s="2" t="s">
        <v>309</v>
      </c>
      <c r="Q24" s="2" t="s">
        <v>681</v>
      </c>
      <c r="R24" s="2" t="s">
        <v>146</v>
      </c>
      <c r="S24" s="2" t="s">
        <v>146</v>
      </c>
    </row>
    <row r="25">
      <c r="A25" s="2" t="s">
        <v>72</v>
      </c>
      <c r="B25" s="2" t="s">
        <v>310</v>
      </c>
      <c r="C25" s="2" t="s">
        <v>682</v>
      </c>
      <c r="D25" s="2">
        <v>1675.0</v>
      </c>
      <c r="E25" s="2">
        <v>1110.0</v>
      </c>
      <c r="F25" s="4" t="b">
        <f>IFERROR(and(vlookup(D25,Blocks!E$2:E$12,1,0),vlookup(E25,Blocks!F$2:F$12,1,0)),false)</f>
        <v>1</v>
      </c>
      <c r="G25" s="4" t="str">
        <f>ifna(if(vlookup(A25,Export!B:B,1,0)&lt;&gt;"","OK"),"")</f>
        <v>OK</v>
      </c>
      <c r="H25" s="4" t="str">
        <f>vlookup(A25,Status!A:C,3,0)</f>
        <v/>
      </c>
      <c r="I25" s="4" t="str">
        <f>IFERROR(__xludf.DUMMYFUNCTION("IF(or(D25="""",J25=0,L25=""0:""),"""",IFNA(INDEX(FILTER(Blocks!$A$2:$A1006,
                   Blocks!$E$2:$E1006&gt;=D25,
                   Blocks!$F$2:$F1006&gt;=E25,
                   Blocks!$D$2:$D1006&gt;=J25),1),""X""))"),"ACV")</f>
        <v>ACV</v>
      </c>
      <c r="J25" s="2">
        <f t="shared" si="1"/>
        <v>11</v>
      </c>
      <c r="K25" s="2" t="s">
        <v>683</v>
      </c>
      <c r="L25" s="2" t="s">
        <v>684</v>
      </c>
      <c r="M25" s="2" t="s">
        <v>146</v>
      </c>
      <c r="N25" s="2" t="s">
        <v>146</v>
      </c>
      <c r="O25" s="2" t="s">
        <v>180</v>
      </c>
      <c r="P25" s="2" t="s">
        <v>241</v>
      </c>
      <c r="Q25" s="2" t="s">
        <v>146</v>
      </c>
      <c r="R25" s="2" t="s">
        <v>685</v>
      </c>
      <c r="S25" s="2" t="s">
        <v>146</v>
      </c>
    </row>
    <row r="26">
      <c r="A26" s="2" t="s">
        <v>73</v>
      </c>
      <c r="B26" s="2" t="s">
        <v>344</v>
      </c>
      <c r="C26" s="2" t="s">
        <v>686</v>
      </c>
      <c r="D26" s="19">
        <v>450.0</v>
      </c>
      <c r="E26" s="19">
        <v>450.0</v>
      </c>
      <c r="F26" s="4" t="b">
        <f>IFERROR(and(vlookup(D26,Blocks!E$2:E$12,1,0),vlookup(E26,Blocks!F$2:F$12,1,0)),false)</f>
        <v>0</v>
      </c>
      <c r="G26" s="4" t="str">
        <f>ifna(if(vlookup(A26,Export!B:B,1,0)&lt;&gt;"","OK"),"")</f>
        <v>OK</v>
      </c>
      <c r="H26" s="4" t="str">
        <f>vlookup(A26,Status!A:C,3,0)</f>
        <v/>
      </c>
      <c r="I26" s="4" t="str">
        <f>IFERROR(__xludf.DUMMYFUNCTION("IF(or(D26="""",J26=0,L26=""0:""),"""",IFNA(INDEX(FILTER(Blocks!$A$2:$A1006,
                   Blocks!$E$2:$E1006&gt;=D26,
                   Blocks!$F$2:$F1006&gt;=E26,
                   Blocks!$D$2:$D1006&gt;=J26),1),""X""))"),"BV")</f>
        <v>BV</v>
      </c>
      <c r="J26" s="2">
        <f t="shared" si="1"/>
        <v>12</v>
      </c>
      <c r="K26" s="2" t="s">
        <v>176</v>
      </c>
      <c r="L26" s="2" t="s">
        <v>177</v>
      </c>
      <c r="M26" s="2" t="s">
        <v>146</v>
      </c>
      <c r="N26" s="2" t="s">
        <v>146</v>
      </c>
      <c r="O26" s="2" t="s">
        <v>687</v>
      </c>
      <c r="P26" s="2" t="s">
        <v>146</v>
      </c>
      <c r="Q26" s="2" t="s">
        <v>688</v>
      </c>
      <c r="R26" s="2" t="s">
        <v>146</v>
      </c>
      <c r="S26" s="2" t="s">
        <v>689</v>
      </c>
      <c r="T26" s="2" t="s">
        <v>690</v>
      </c>
    </row>
    <row r="27">
      <c r="A27" s="2" t="s">
        <v>76</v>
      </c>
      <c r="B27" s="2" t="s">
        <v>349</v>
      </c>
      <c r="C27" s="2" t="s">
        <v>691</v>
      </c>
      <c r="D27" s="19">
        <v>278.44</v>
      </c>
      <c r="E27" s="19">
        <v>160.66</v>
      </c>
      <c r="F27" s="4" t="b">
        <f>IFERROR(and(vlookup(D27,Blocks!E$2:E$12,1,0),vlookup(E27,Blocks!F$2:F$12,1,0)),false)</f>
        <v>0</v>
      </c>
      <c r="G27" s="4" t="str">
        <f>ifna(if(vlookup(A27,Export!B:B,1,0)&lt;&gt;"","OK"),"")</f>
        <v>OK</v>
      </c>
      <c r="H27" s="4" t="str">
        <f>vlookup(A27,Status!A:C,3,0)</f>
        <v/>
      </c>
      <c r="I27" s="4" t="str">
        <f>IFERROR(__xludf.DUMMYFUNCTION("IF(or(D27="""",J27=0,L27=""0:""),"""",IFNA(INDEX(FILTER(Blocks!$A$2:$A1006,
                   Blocks!$E$2:$E1006&gt;=D27,
                   Blocks!$F$2:$F1006&gt;=E27,
                   Blocks!$D$2:$D1006&gt;=J27),1),""X""))"),"D")</f>
        <v>D</v>
      </c>
      <c r="J27" s="2">
        <f t="shared" si="1"/>
        <v>8</v>
      </c>
      <c r="K27" s="2" t="s">
        <v>692</v>
      </c>
      <c r="L27" s="2" t="s">
        <v>614</v>
      </c>
      <c r="M27" s="2" t="s">
        <v>146</v>
      </c>
      <c r="N27" s="2" t="s">
        <v>693</v>
      </c>
      <c r="O27" s="2" t="s">
        <v>146</v>
      </c>
      <c r="P27" s="2" t="s">
        <v>146</v>
      </c>
      <c r="Q27" s="2" t="s">
        <v>146</v>
      </c>
      <c r="R27" s="2" t="s">
        <v>146</v>
      </c>
      <c r="S27" s="2" t="s">
        <v>694</v>
      </c>
    </row>
    <row r="28">
      <c r="A28" s="2" t="s">
        <v>78</v>
      </c>
      <c r="B28" s="2" t="s">
        <v>361</v>
      </c>
      <c r="C28" s="2" t="s">
        <v>695</v>
      </c>
      <c r="D28" s="19">
        <v>500.0</v>
      </c>
      <c r="E28" s="19">
        <v>500.0</v>
      </c>
      <c r="F28" s="4" t="b">
        <f>IFERROR(and(vlookup(D28,Blocks!E$2:E$12,1,0),vlookup(E28,Blocks!F$2:F$12,1,0)),false)</f>
        <v>0</v>
      </c>
      <c r="G28" s="4" t="str">
        <f>ifna(if(vlookup(A28,Export!B:B,1,0)&lt;&gt;"","OK"),"")</f>
        <v>OK</v>
      </c>
      <c r="H28" s="4" t="str">
        <f>vlookup(A28,Status!A:C,3,0)</f>
        <v/>
      </c>
      <c r="I28" s="4" t="str">
        <f>IFERROR(__xludf.DUMMYFUNCTION("IF(or(D28="""",J28=0,L28=""0:""),"""",IFNA(INDEX(FILTER(Blocks!$A$2:$A1006,
                   Blocks!$E$2:$E1006&gt;=D28,
                   Blocks!$F$2:$F1006&gt;=E28,
                   Blocks!$D$2:$D1006&gt;=J28),1),""X""))"),"D")</f>
        <v>D</v>
      </c>
      <c r="J28" s="2">
        <f t="shared" si="1"/>
        <v>10</v>
      </c>
      <c r="K28" s="2" t="s">
        <v>368</v>
      </c>
      <c r="L28" s="2" t="s">
        <v>369</v>
      </c>
      <c r="M28" s="2" t="s">
        <v>146</v>
      </c>
      <c r="N28" s="2" t="s">
        <v>696</v>
      </c>
      <c r="O28" s="2" t="s">
        <v>146</v>
      </c>
      <c r="P28" s="2" t="s">
        <v>697</v>
      </c>
      <c r="Q28" s="2" t="s">
        <v>698</v>
      </c>
      <c r="R28" s="2" t="s">
        <v>146</v>
      </c>
      <c r="S28" s="2" t="s">
        <v>146</v>
      </c>
      <c r="T28" s="2" t="s">
        <v>699</v>
      </c>
    </row>
    <row r="29">
      <c r="A29" s="2" t="s">
        <v>79</v>
      </c>
      <c r="B29" s="2" t="s">
        <v>366</v>
      </c>
      <c r="C29" s="2" t="s">
        <v>700</v>
      </c>
      <c r="D29" s="19">
        <v>1000.0</v>
      </c>
      <c r="E29" s="19">
        <v>1000.0</v>
      </c>
      <c r="F29" s="4" t="b">
        <f>IFERROR(and(vlookup(D29,Blocks!E$2:E$12,1,0),vlookup(E29,Blocks!F$2:F$12,1,0)),false)</f>
        <v>0</v>
      </c>
      <c r="G29" s="4" t="str">
        <f>ifna(if(vlookup(A29,Export!B:B,1,0)&lt;&gt;"","OK"),"")</f>
        <v>OK</v>
      </c>
      <c r="H29" s="4" t="str">
        <f>vlookup(A29,Status!A:C,3,0)</f>
        <v/>
      </c>
      <c r="I29" s="4" t="str">
        <f>IFERROR(__xludf.DUMMYFUNCTION("IF(or(D29="""",J29=0,L29=""0:""),"""",IFNA(INDEX(FILTER(Blocks!$A$2:$A1006,
                   Blocks!$E$2:$E1006&gt;=D29,
                   Blocks!$F$2:$F1006&gt;=E29,
                   Blocks!$D$2:$D1006&gt;=J29),1),""X""))"),"A")</f>
        <v>A</v>
      </c>
      <c r="J29" s="2">
        <f t="shared" si="1"/>
        <v>8</v>
      </c>
      <c r="K29" s="2" t="s">
        <v>176</v>
      </c>
      <c r="L29" s="2" t="s">
        <v>177</v>
      </c>
      <c r="M29" s="2" t="s">
        <v>146</v>
      </c>
      <c r="N29" s="2" t="s">
        <v>146</v>
      </c>
      <c r="O29" s="2" t="s">
        <v>701</v>
      </c>
      <c r="P29" s="2" t="s">
        <v>702</v>
      </c>
      <c r="Q29" s="2" t="s">
        <v>372</v>
      </c>
      <c r="R29" s="2" t="s">
        <v>146</v>
      </c>
    </row>
    <row r="30">
      <c r="A30" s="2" t="s">
        <v>81</v>
      </c>
      <c r="B30" s="2" t="s">
        <v>378</v>
      </c>
      <c r="C30" s="2" t="s">
        <v>703</v>
      </c>
      <c r="D30" s="19">
        <v>502.89</v>
      </c>
      <c r="E30" s="19">
        <v>520.81</v>
      </c>
      <c r="F30" s="4" t="b">
        <f>IFERROR(and(vlookup(D30,Blocks!E$2:E$12,1,0),vlookup(E30,Blocks!F$2:F$12,1,0)),false)</f>
        <v>0</v>
      </c>
      <c r="G30" s="4" t="str">
        <f>ifna(if(vlookup(A30,Export!B:B,1,0)&lt;&gt;"","OK"),"")</f>
        <v/>
      </c>
      <c r="H30" s="4" t="str">
        <f>vlookup(A30,Status!A:C,3,0)</f>
        <v/>
      </c>
      <c r="I30" s="4" t="str">
        <f>IFERROR(__xludf.DUMMYFUNCTION("IF(or(D30="""",J30=0,L30=""0:""),"""",IFNA(INDEX(FILTER(Blocks!$A$2:$A1006,
                   Blocks!$E$2:$E1006&gt;=D30,
                   Blocks!$F$2:$F1006&gt;=E30,
                   Blocks!$D$2:$D1006&gt;=J30),1),""X""))"),"BV")</f>
        <v>BV</v>
      </c>
      <c r="J30" s="2">
        <f t="shared" si="1"/>
        <v>12</v>
      </c>
      <c r="K30" s="2" t="s">
        <v>176</v>
      </c>
      <c r="L30" s="2" t="s">
        <v>177</v>
      </c>
      <c r="M30" s="2" t="s">
        <v>146</v>
      </c>
      <c r="N30" s="2" t="s">
        <v>146</v>
      </c>
      <c r="O30" s="2" t="s">
        <v>704</v>
      </c>
      <c r="P30" s="2" t="s">
        <v>241</v>
      </c>
      <c r="Q30" s="2" t="s">
        <v>705</v>
      </c>
      <c r="R30" s="2" t="s">
        <v>146</v>
      </c>
      <c r="S30" s="2" t="s">
        <v>146</v>
      </c>
    </row>
    <row r="31">
      <c r="A31" s="2" t="s">
        <v>82</v>
      </c>
      <c r="B31" s="2" t="s">
        <v>384</v>
      </c>
      <c r="C31" s="2" t="s">
        <v>706</v>
      </c>
      <c r="D31" s="3"/>
      <c r="E31" s="3"/>
      <c r="F31" s="4" t="b">
        <f>IFERROR(and(vlookup(D31,Blocks!E$2:E$12,1,0),vlookup(E31,Blocks!F$2:F$12,1,0)),false)</f>
        <v>0</v>
      </c>
      <c r="G31" s="4" t="str">
        <f>ifna(if(vlookup(A31,Export!B:B,1,0)&lt;&gt;"","OK"),"")</f>
        <v/>
      </c>
      <c r="H31" s="4" t="str">
        <f>vlookup(A31,Status!A:C,3,0)</f>
        <v/>
      </c>
      <c r="I31" s="4" t="str">
        <f>IFERROR(__xludf.DUMMYFUNCTION("IF(or(D31="""",J31=0,L31=""0:""),"""",IFNA(INDEX(FILTER(Blocks!$A$2:$A1006,
                   Blocks!$E$2:$E1006&gt;=D31,
                   Blocks!$F$2:$F1006&gt;=E31,
                   Blocks!$D$2:$D1006&gt;=J31),1),""X""))"),"")</f>
        <v/>
      </c>
      <c r="J31" s="2">
        <f t="shared" si="1"/>
        <v>15</v>
      </c>
      <c r="K31" s="2" t="s">
        <v>707</v>
      </c>
      <c r="L31" s="2" t="s">
        <v>708</v>
      </c>
      <c r="M31" s="2" t="s">
        <v>709</v>
      </c>
      <c r="N31" s="2" t="s">
        <v>710</v>
      </c>
      <c r="O31" s="2" t="s">
        <v>711</v>
      </c>
      <c r="P31" s="2" t="s">
        <v>146</v>
      </c>
      <c r="Q31" s="2" t="s">
        <v>712</v>
      </c>
      <c r="R31" s="2" t="s">
        <v>146</v>
      </c>
      <c r="S31" s="2" t="s">
        <v>146</v>
      </c>
      <c r="T31" s="2" t="s">
        <v>713</v>
      </c>
    </row>
    <row r="32">
      <c r="A32" s="2" t="s">
        <v>83</v>
      </c>
      <c r="B32" s="2" t="s">
        <v>396</v>
      </c>
      <c r="C32" s="2" t="s">
        <v>714</v>
      </c>
      <c r="D32" s="2">
        <v>1110.0</v>
      </c>
      <c r="E32" s="2">
        <v>1110.0</v>
      </c>
      <c r="F32" s="4" t="b">
        <f>IFERROR(and(vlookup(D32,Blocks!E$2:E$12,1,0),vlookup(E32,Blocks!F$2:F$12,1,0)),false)</f>
        <v>1</v>
      </c>
      <c r="G32" s="4" t="str">
        <f>ifna(if(vlookup(A32,Export!B:B,1,0)&lt;&gt;"","OK"),"")</f>
        <v>OK</v>
      </c>
      <c r="H32" s="4" t="str">
        <f>vlookup(A32,Status!A:C,3,0)</f>
        <v/>
      </c>
      <c r="I32" s="4" t="str">
        <f>IFERROR(__xludf.DUMMYFUNCTION("IF(or(D32="""",J32=0,L32=""0:""),"""",IFNA(INDEX(FILTER(Blocks!$A$2:$A1006,
                   Blocks!$E$2:$E1006&gt;=D32,
                   Blocks!$F$2:$F1006&gt;=E32,
                   Blocks!$D$2:$D1006&gt;=J32),1),""X""))"),"A")</f>
        <v>A</v>
      </c>
      <c r="J32" s="2">
        <f t="shared" si="1"/>
        <v>10</v>
      </c>
      <c r="K32" s="2" t="s">
        <v>176</v>
      </c>
      <c r="L32" s="2" t="s">
        <v>614</v>
      </c>
      <c r="M32" s="2" t="s">
        <v>146</v>
      </c>
      <c r="N32" s="2" t="s">
        <v>715</v>
      </c>
      <c r="O32" s="2" t="s">
        <v>716</v>
      </c>
      <c r="P32" s="2" t="s">
        <v>717</v>
      </c>
      <c r="Q32" s="2" t="s">
        <v>718</v>
      </c>
      <c r="R32" s="2" t="s">
        <v>146</v>
      </c>
      <c r="S32" s="2" t="s">
        <v>146</v>
      </c>
    </row>
    <row r="33">
      <c r="A33" s="2" t="s">
        <v>85</v>
      </c>
      <c r="B33" s="2" t="s">
        <v>449</v>
      </c>
      <c r="C33" s="2" t="s">
        <v>719</v>
      </c>
      <c r="D33" s="19">
        <v>251.93</v>
      </c>
      <c r="E33" s="19">
        <v>279.4</v>
      </c>
      <c r="F33" s="4" t="b">
        <f>IFERROR(and(vlookup(D33,Blocks!E$2:E$12,1,0),vlookup(E33,Blocks!F$2:F$12,1,0)),false)</f>
        <v>0</v>
      </c>
      <c r="G33" s="4" t="str">
        <f>ifna(if(vlookup(A33,Export!B:B,1,0)&lt;&gt;"","OK"),"")</f>
        <v/>
      </c>
      <c r="H33" s="4" t="str">
        <f>vlookup(A33,Status!A:C,3,0)</f>
        <v/>
      </c>
      <c r="I33" s="4" t="str">
        <f>IFERROR(__xludf.DUMMYFUNCTION("IF(or(D33="""",J33=0,L33=""0:""),"""",IFNA(INDEX(FILTER(Blocks!$A$2:$A1006,
                   Blocks!$E$2:$E1006&gt;=D33,
                   Blocks!$F$2:$F1006&gt;=E33,
                   Blocks!$D$2:$D1006&gt;=J33),1),""X""))"),"")</f>
        <v/>
      </c>
      <c r="J33" s="2">
        <f t="shared" si="1"/>
        <v>0</v>
      </c>
      <c r="K33" s="2" t="s">
        <v>146</v>
      </c>
      <c r="L33" s="2" t="s">
        <v>146</v>
      </c>
      <c r="M33" s="2" t="s">
        <v>146</v>
      </c>
      <c r="N33" s="2" t="s">
        <v>146</v>
      </c>
      <c r="O33" s="2" t="s">
        <v>146</v>
      </c>
      <c r="P33" s="2" t="s">
        <v>146</v>
      </c>
      <c r="Q33" s="2" t="s">
        <v>146</v>
      </c>
      <c r="R33" s="2" t="s">
        <v>146</v>
      </c>
      <c r="S33" s="2" t="s">
        <v>146</v>
      </c>
      <c r="T33" s="2" t="s">
        <v>720</v>
      </c>
    </row>
    <row r="34">
      <c r="A34" s="2" t="s">
        <v>86</v>
      </c>
      <c r="B34" s="2" t="s">
        <v>467</v>
      </c>
      <c r="C34" s="2" t="s">
        <v>471</v>
      </c>
      <c r="D34" s="19">
        <v>600.0</v>
      </c>
      <c r="E34" s="19">
        <v>600.0</v>
      </c>
      <c r="F34" s="4" t="b">
        <f>IFERROR(and(vlookup(D34,Blocks!E$2:E$12,1,0),vlookup(E34,Blocks!F$2:F$12,1,0)),false)</f>
        <v>0</v>
      </c>
      <c r="G34" s="4" t="str">
        <f>ifna(if(vlookup(A34,Export!B:B,1,0)&lt;&gt;"","OK"),"")</f>
        <v>OK</v>
      </c>
      <c r="H34" s="4" t="str">
        <f>vlookup(A34,Status!A:C,3,0)</f>
        <v/>
      </c>
      <c r="I34" s="4" t="str">
        <f>IFERROR(__xludf.DUMMYFUNCTION("IF(or(D34="""",J34=0,L34=""0:""),"""",IFNA(INDEX(FILTER(Blocks!$A$2:$A1006,
                   Blocks!$E$2:$E1006&gt;=D34,
                   Blocks!$F$2:$F1006&gt;=E34,
                   Blocks!$D$2:$D1006&gt;=J34),1),""X""))"),"A")</f>
        <v>A</v>
      </c>
      <c r="J34" s="2">
        <f t="shared" si="1"/>
        <v>22</v>
      </c>
      <c r="K34" s="2" t="s">
        <v>721</v>
      </c>
      <c r="L34" s="2" t="s">
        <v>722</v>
      </c>
      <c r="M34" s="2" t="s">
        <v>723</v>
      </c>
      <c r="N34" s="2" t="s">
        <v>146</v>
      </c>
      <c r="O34" s="2" t="s">
        <v>724</v>
      </c>
      <c r="P34" s="2" t="s">
        <v>146</v>
      </c>
      <c r="Q34" s="2" t="s">
        <v>725</v>
      </c>
      <c r="R34" s="2" t="s">
        <v>146</v>
      </c>
      <c r="S34" s="2" t="s">
        <v>146</v>
      </c>
      <c r="T34" s="2" t="s">
        <v>726</v>
      </c>
    </row>
    <row r="35">
      <c r="A35" s="2" t="s">
        <v>87</v>
      </c>
      <c r="B35" s="2" t="s">
        <v>489</v>
      </c>
      <c r="C35" s="2" t="s">
        <v>727</v>
      </c>
      <c r="D35" s="2">
        <v>135.81</v>
      </c>
      <c r="E35" s="2">
        <v>138.87</v>
      </c>
      <c r="F35" s="4" t="b">
        <f>IFERROR(and(vlookup(D35,Blocks!E$2:E$12,1,0),vlookup(E35,Blocks!F$2:F$12,1,0)),false)</f>
        <v>0</v>
      </c>
      <c r="G35" s="4" t="str">
        <f>ifna(if(vlookup(A35,Export!B:B,1,0)&lt;&gt;"","OK"),"")</f>
        <v>OK</v>
      </c>
      <c r="H35" s="4" t="str">
        <f>vlookup(A35,Status!A:C,3,0)</f>
        <v/>
      </c>
      <c r="I35" s="4" t="str">
        <f>IFERROR(__xludf.DUMMYFUNCTION("IF(or(D35="""",J35=0,L35=""0:""),"""",IFNA(INDEX(FILTER(Blocks!$A$2:$A1006,
                   Blocks!$E$2:$E1006&gt;=D35,
                   Blocks!$F$2:$F1006&gt;=E35,
                   Blocks!$D$2:$D1006&gt;=J35),1),""X""))"),"D")</f>
        <v>D</v>
      </c>
      <c r="J35" s="2">
        <f t="shared" si="1"/>
        <v>9</v>
      </c>
      <c r="K35" s="2" t="s">
        <v>176</v>
      </c>
      <c r="L35" s="2" t="s">
        <v>177</v>
      </c>
      <c r="M35" s="2" t="s">
        <v>146</v>
      </c>
      <c r="N35" s="2" t="s">
        <v>728</v>
      </c>
      <c r="O35" s="2" t="s">
        <v>146</v>
      </c>
      <c r="P35" s="2" t="s">
        <v>146</v>
      </c>
      <c r="Q35" s="2" t="s">
        <v>146</v>
      </c>
      <c r="R35" s="2" t="s">
        <v>146</v>
      </c>
      <c r="S35" s="2" t="s">
        <v>146</v>
      </c>
    </row>
    <row r="36">
      <c r="A36" s="2" t="s">
        <v>89</v>
      </c>
      <c r="B36" s="2" t="s">
        <v>521</v>
      </c>
      <c r="C36" s="2" t="s">
        <v>729</v>
      </c>
      <c r="D36" s="2">
        <v>1110.0</v>
      </c>
      <c r="E36" s="2">
        <v>1110.0</v>
      </c>
      <c r="F36" s="4" t="b">
        <f>IFERROR(and(vlookup(D36,Blocks!E$2:E$12,1,0),vlookup(E36,Blocks!F$2:F$12,1,0)),false)</f>
        <v>1</v>
      </c>
      <c r="G36" s="4" t="str">
        <f>ifna(if(vlookup(A36,Export!B:B,1,0)&lt;&gt;"","OK"),"")</f>
        <v>OK</v>
      </c>
      <c r="H36" s="4" t="str">
        <f>vlookup(A36,Status!A:C,3,0)</f>
        <v/>
      </c>
      <c r="I36" s="4" t="str">
        <f>IFERROR(__xludf.DUMMYFUNCTION("IF(or(D36="""",J36=0,L36=""0:""),"""",IFNA(INDEX(FILTER(Blocks!$A$2:$A1006,
                   Blocks!$E$2:$E1006&gt;=D36,
                   Blocks!$F$2:$F1006&gt;=E36,
                   Blocks!$D$2:$D1006&gt;=J36),1),""X""))"),"A")</f>
        <v>A</v>
      </c>
      <c r="J36" s="2">
        <f t="shared" si="1"/>
        <v>18</v>
      </c>
      <c r="K36" s="2" t="s">
        <v>176</v>
      </c>
      <c r="L36" s="2" t="s">
        <v>177</v>
      </c>
      <c r="M36" s="2" t="s">
        <v>730</v>
      </c>
      <c r="N36" s="2" t="s">
        <v>731</v>
      </c>
      <c r="O36" s="2" t="s">
        <v>146</v>
      </c>
      <c r="P36" s="2" t="s">
        <v>146</v>
      </c>
      <c r="Q36" s="2" t="s">
        <v>146</v>
      </c>
      <c r="R36" s="2" t="s">
        <v>146</v>
      </c>
      <c r="S36" s="2" t="s">
        <v>146</v>
      </c>
    </row>
    <row r="37">
      <c r="A37" s="2" t="s">
        <v>90</v>
      </c>
      <c r="B37" s="2" t="s">
        <v>546</v>
      </c>
      <c r="C37" s="2" t="s">
        <v>732</v>
      </c>
      <c r="D37" s="2">
        <v>1110.0</v>
      </c>
      <c r="E37" s="2">
        <v>1110.0</v>
      </c>
      <c r="F37" s="4" t="b">
        <f>IFERROR(and(vlookup(D37,Blocks!E$2:E$12,1,0),vlookup(E37,Blocks!F$2:F$12,1,0)),false)</f>
        <v>1</v>
      </c>
      <c r="G37" s="4" t="str">
        <f>ifna(if(vlookup(A37,Export!B:B,1,0)&lt;&gt;"","OK"),"")</f>
        <v>OK</v>
      </c>
      <c r="H37" s="4" t="str">
        <f>vlookup(A37,Status!A:C,3,0)</f>
        <v/>
      </c>
      <c r="I37" s="4" t="str">
        <f>IFERROR(__xludf.DUMMYFUNCTION("IF(or(D37="""",J37=0,L37=""0:""),"""",IFNA(INDEX(FILTER(Blocks!$A$2:$A1006,
                   Blocks!$E$2:$E1006&gt;=D37,
                   Blocks!$F$2:$F1006&gt;=E37,
                   Blocks!$D$2:$D1006&gt;=J37),1),""X""))"),"A")</f>
        <v>A</v>
      </c>
      <c r="J37" s="2">
        <f t="shared" si="1"/>
        <v>19</v>
      </c>
      <c r="K37" s="2" t="s">
        <v>176</v>
      </c>
      <c r="L37" s="2" t="s">
        <v>177</v>
      </c>
      <c r="M37" s="2" t="s">
        <v>146</v>
      </c>
      <c r="N37" s="2" t="s">
        <v>146</v>
      </c>
      <c r="O37" s="2" t="s">
        <v>733</v>
      </c>
      <c r="P37" s="2" t="s">
        <v>734</v>
      </c>
      <c r="Q37" s="2" t="s">
        <v>735</v>
      </c>
      <c r="R37" s="2" t="s">
        <v>146</v>
      </c>
      <c r="S37" s="2" t="s">
        <v>146</v>
      </c>
    </row>
    <row r="38">
      <c r="A38" s="2" t="s">
        <v>92</v>
      </c>
      <c r="B38" s="2" t="s">
        <v>562</v>
      </c>
      <c r="C38" s="2" t="s">
        <v>563</v>
      </c>
      <c r="D38" s="19">
        <v>600.0</v>
      </c>
      <c r="E38" s="19">
        <v>600.0</v>
      </c>
      <c r="F38" s="4" t="b">
        <f>IFERROR(and(vlookup(D38,Blocks!E$2:E$12,1,0),vlookup(E38,Blocks!F$2:F$12,1,0)),false)</f>
        <v>0</v>
      </c>
      <c r="G38" s="4" t="str">
        <f>ifna(if(vlookup(A38,Export!B:B,1,0)&lt;&gt;"","OK"),"")</f>
        <v/>
      </c>
      <c r="H38" s="4" t="str">
        <f>vlookup(A38,Status!A:C,3,0)</f>
        <v/>
      </c>
      <c r="I38" s="4" t="str">
        <f>IFERROR(__xludf.DUMMYFUNCTION("IF(or(D38="""",J38=0,L38=""0:""),"""",IFNA(INDEX(FILTER(Blocks!$A$2:$A1006,
                   Blocks!$E$2:$E1006&gt;=D38,
                   Blocks!$F$2:$F1006&gt;=E38,
                   Blocks!$D$2:$D1006&gt;=J38),1),""X""))"),"A")</f>
        <v>A</v>
      </c>
      <c r="J38" s="2">
        <f t="shared" si="1"/>
        <v>14</v>
      </c>
      <c r="K38" s="2" t="s">
        <v>736</v>
      </c>
      <c r="L38" s="2" t="s">
        <v>737</v>
      </c>
      <c r="M38" s="2" t="s">
        <v>146</v>
      </c>
      <c r="N38" s="2" t="s">
        <v>146</v>
      </c>
      <c r="O38" s="2" t="s">
        <v>738</v>
      </c>
      <c r="P38" s="2" t="s">
        <v>146</v>
      </c>
      <c r="Q38" s="2" t="s">
        <v>739</v>
      </c>
      <c r="R38" s="2" t="s">
        <v>146</v>
      </c>
      <c r="S38" s="2" t="s">
        <v>146</v>
      </c>
      <c r="T38" s="2" t="s">
        <v>740</v>
      </c>
    </row>
    <row r="39">
      <c r="A39" s="2" t="s">
        <v>93</v>
      </c>
      <c r="B39" s="2" t="s">
        <v>568</v>
      </c>
      <c r="C39" s="2" t="s">
        <v>570</v>
      </c>
      <c r="D39" s="3"/>
      <c r="E39" s="3"/>
      <c r="F39" s="4" t="b">
        <f>IFERROR(and(vlookup(D39,Blocks!E$2:E$12,1,0),vlookup(E39,Blocks!F$2:F$12,1,0)),false)</f>
        <v>0</v>
      </c>
      <c r="G39" s="4" t="str">
        <f>ifna(if(vlookup(A39,Export!B:B,1,0)&lt;&gt;"","OK"),"")</f>
        <v>OK</v>
      </c>
      <c r="H39" s="4" t="str">
        <f>vlookup(A39,Status!A:C,3,0)</f>
        <v/>
      </c>
      <c r="I39" s="4" t="str">
        <f>IFERROR(__xludf.DUMMYFUNCTION("IF(or(D39="""",J39=0,L39=""0:""),"""",IFNA(INDEX(FILTER(Blocks!$A$2:$A1006,
                   Blocks!$E$2:$E1006&gt;=D39,
                   Blocks!$F$2:$F1006&gt;=E39,
                   Blocks!$D$2:$D1006&gt;=J39),1),""X""))"),"")</f>
        <v/>
      </c>
      <c r="J39" s="2">
        <f t="shared" si="1"/>
        <v>18</v>
      </c>
      <c r="K39" s="2" t="s">
        <v>741</v>
      </c>
      <c r="L39" s="2" t="s">
        <v>614</v>
      </c>
      <c r="M39" s="2" t="s">
        <v>146</v>
      </c>
      <c r="N39" s="2" t="s">
        <v>742</v>
      </c>
      <c r="O39" s="2" t="s">
        <v>146</v>
      </c>
      <c r="P39" s="2" t="s">
        <v>146</v>
      </c>
      <c r="Q39" s="2" t="s">
        <v>146</v>
      </c>
      <c r="R39" s="2" t="s">
        <v>146</v>
      </c>
      <c r="S39" s="2" t="s">
        <v>146</v>
      </c>
      <c r="T39" s="2" t="s">
        <v>743</v>
      </c>
    </row>
    <row r="40">
      <c r="A40" s="2" t="s">
        <v>95</v>
      </c>
      <c r="B40" s="2" t="s">
        <v>575</v>
      </c>
      <c r="C40" s="2" t="s">
        <v>744</v>
      </c>
      <c r="D40" s="2">
        <v>418.24</v>
      </c>
      <c r="E40" s="2">
        <v>442.19</v>
      </c>
      <c r="F40" s="4" t="b">
        <f>IFERROR(and(vlookup(D40,Blocks!E$2:E$12,1,0),vlookup(E40,Blocks!F$2:F$12,1,0)),false)</f>
        <v>0</v>
      </c>
      <c r="G40" s="4" t="str">
        <f>ifna(if(vlookup(A40,Export!B:B,1,0)&lt;&gt;"","OK"),"")</f>
        <v>OK</v>
      </c>
      <c r="H40" s="4" t="str">
        <f>vlookup(A40,Status!A:C,3,0)</f>
        <v/>
      </c>
      <c r="I40" s="4" t="str">
        <f>IFERROR(__xludf.DUMMYFUNCTION("IF(or(D40="""",J40=0,L40=""0:""),"""",IFNA(INDEX(FILTER(Blocks!$A$2:$A1006,
                   Blocks!$E$2:$E1006&gt;=D40,
                   Blocks!$F$2:$F1006&gt;=E40,
                   Blocks!$D$2:$D1006&gt;=J40),1),""X""))"),"A")</f>
        <v>A</v>
      </c>
      <c r="J40" s="2">
        <f t="shared" si="1"/>
        <v>19</v>
      </c>
      <c r="K40" s="2" t="s">
        <v>176</v>
      </c>
      <c r="L40" s="2" t="s">
        <v>177</v>
      </c>
      <c r="M40" s="2" t="s">
        <v>146</v>
      </c>
      <c r="N40" s="2" t="s">
        <v>745</v>
      </c>
      <c r="O40" s="2" t="s">
        <v>146</v>
      </c>
      <c r="P40" s="2" t="s">
        <v>146</v>
      </c>
      <c r="Q40" s="2" t="s">
        <v>746</v>
      </c>
      <c r="R40" s="2" t="s">
        <v>146</v>
      </c>
      <c r="S40" s="2" t="s">
        <v>146</v>
      </c>
    </row>
    <row r="41">
      <c r="A41" s="2" t="s">
        <v>96</v>
      </c>
      <c r="B41" s="2" t="s">
        <v>580</v>
      </c>
      <c r="C41" s="2" t="s">
        <v>581</v>
      </c>
      <c r="D41" s="3"/>
      <c r="E41" s="3"/>
      <c r="F41" s="4" t="b">
        <f>IFERROR(and(vlookup(D41,Blocks!E$2:E$12,1,0),vlookup(E41,Blocks!F$2:F$12,1,0)),false)</f>
        <v>0</v>
      </c>
      <c r="G41" s="4" t="str">
        <f>ifna(if(vlookup(A41,Export!B:B,1,0)&lt;&gt;"","OK"),"")</f>
        <v/>
      </c>
      <c r="H41" s="4" t="str">
        <f>vlookup(A41,Status!A:C,3,0)</f>
        <v/>
      </c>
      <c r="I41" s="4" t="str">
        <f>IFERROR(__xludf.DUMMYFUNCTION("IF(or(D41="""",J41=0,L41=""0:""),"""",IFNA(INDEX(FILTER(Blocks!$A$2:$A1006,
                   Blocks!$E$2:$E1006&gt;=D41,
                   Blocks!$F$2:$F1006&gt;=E41,
                   Blocks!$D$2:$D1006&gt;=J41),1),""X""))"),"")</f>
        <v/>
      </c>
      <c r="J41" s="2">
        <f t="shared" si="1"/>
        <v>0</v>
      </c>
      <c r="K41" s="2" t="s">
        <v>146</v>
      </c>
      <c r="L41" s="2" t="s">
        <v>146</v>
      </c>
      <c r="M41" s="2" t="s">
        <v>146</v>
      </c>
      <c r="N41" s="2" t="s">
        <v>146</v>
      </c>
      <c r="O41" s="2" t="s">
        <v>146</v>
      </c>
      <c r="P41" s="2" t="s">
        <v>146</v>
      </c>
      <c r="Q41" s="2" t="s">
        <v>146</v>
      </c>
      <c r="R41" s="2" t="s">
        <v>146</v>
      </c>
      <c r="S41" s="2" t="s">
        <v>146</v>
      </c>
      <c r="T41" s="2" t="s">
        <v>747</v>
      </c>
    </row>
    <row r="42">
      <c r="A42" s="2" t="s">
        <v>98</v>
      </c>
      <c r="B42" s="2" t="s">
        <v>593</v>
      </c>
      <c r="C42" s="2" t="s">
        <v>748</v>
      </c>
      <c r="D42" s="2">
        <v>1110.0</v>
      </c>
      <c r="E42" s="2">
        <v>1110.0</v>
      </c>
      <c r="F42" s="4" t="b">
        <f>IFERROR(and(vlookup(D42,Blocks!E$2:E$12,1,0),vlookup(E42,Blocks!F$2:F$12,1,0)),false)</f>
        <v>1</v>
      </c>
      <c r="G42" s="4" t="str">
        <f>ifna(if(vlookup(A42,Export!B:B,1,0)&lt;&gt;"","OK"),"")</f>
        <v>OK</v>
      </c>
      <c r="H42" s="4" t="str">
        <f>vlookup(A42,Status!A:C,3,0)</f>
        <v>Approved</v>
      </c>
      <c r="I42" s="4" t="str">
        <f>IFERROR(__xludf.DUMMYFUNCTION("IF(or(D42="""",J42=0,L42=""0:""),"""",IFNA(INDEX(FILTER(Blocks!$A$2:$A1006,
                   Blocks!$E$2:$E1006&gt;=D42,
                   Blocks!$F$2:$F1006&gt;=E42,
                   Blocks!$D$2:$D1006&gt;=J42),1),""X""))"),"A")</f>
        <v>A</v>
      </c>
      <c r="J42" s="2">
        <f t="shared" si="1"/>
        <v>18</v>
      </c>
      <c r="K42" s="2" t="s">
        <v>176</v>
      </c>
      <c r="L42" s="2" t="s">
        <v>177</v>
      </c>
      <c r="M42" s="2" t="s">
        <v>749</v>
      </c>
      <c r="N42" s="2" t="s">
        <v>146</v>
      </c>
      <c r="O42" s="2" t="s">
        <v>750</v>
      </c>
      <c r="P42" s="2" t="s">
        <v>146</v>
      </c>
      <c r="Q42" s="2" t="s">
        <v>751</v>
      </c>
      <c r="R42" s="2" t="s">
        <v>146</v>
      </c>
      <c r="S42" s="2" t="s">
        <v>146</v>
      </c>
    </row>
    <row r="43">
      <c r="A43" s="2" t="s">
        <v>101</v>
      </c>
      <c r="B43" s="2" t="s">
        <v>593</v>
      </c>
      <c r="C43" s="2" t="s">
        <v>748</v>
      </c>
      <c r="D43" s="23"/>
      <c r="E43" s="23"/>
      <c r="F43" s="4" t="b">
        <f>IFERROR(and(vlookup(D43,Blocks!E$2:E$12,1,0),vlookup(E43,Blocks!F$2:F$12,1,0)),false)</f>
        <v>0</v>
      </c>
      <c r="G43" s="4" t="str">
        <f>ifna(if(vlookup(A43,Export!B:B,1,0)&lt;&gt;"","OK"),"")</f>
        <v/>
      </c>
      <c r="H43" s="4" t="str">
        <f>vlookup(A43,Status!A:C,3,0)</f>
        <v/>
      </c>
      <c r="I43" s="4" t="str">
        <f>IFERROR(__xludf.DUMMYFUNCTION("IF(or(D43="""",J43=0,L43=""0:""),"""",IFNA(INDEX(FILTER(Blocks!$A$2:$A1006,
                   Blocks!$E$2:$E1006&gt;=D43,
                   Blocks!$F$2:$F1006&gt;=E43,
                   Blocks!$D$2:$D1006&gt;=J43),1),""X""))"),"")</f>
        <v/>
      </c>
      <c r="J43" s="2">
        <f t="shared" si="1"/>
        <v>0</v>
      </c>
      <c r="K43" s="2" t="s">
        <v>146</v>
      </c>
      <c r="L43" s="2" t="s">
        <v>146</v>
      </c>
      <c r="M43" s="2" t="s">
        <v>146</v>
      </c>
      <c r="N43" s="2" t="s">
        <v>146</v>
      </c>
      <c r="O43" s="2" t="s">
        <v>146</v>
      </c>
      <c r="P43" s="2" t="s">
        <v>146</v>
      </c>
      <c r="Q43" s="2" t="s">
        <v>146</v>
      </c>
      <c r="R43" s="2" t="s">
        <v>146</v>
      </c>
      <c r="S43" s="2" t="s">
        <v>146</v>
      </c>
      <c r="T43" s="2" t="s">
        <v>752</v>
      </c>
    </row>
    <row r="44">
      <c r="A44" s="2" t="s">
        <v>103</v>
      </c>
      <c r="B44" s="2" t="s">
        <v>608</v>
      </c>
      <c r="C44" s="2" t="s">
        <v>753</v>
      </c>
      <c r="D44" s="23"/>
      <c r="E44" s="23"/>
      <c r="F44" s="4" t="b">
        <f>IFERROR(and(vlookup(D44,Blocks!E$2:E$12,1,0),vlookup(E44,Blocks!F$2:F$12,1,0)),false)</f>
        <v>0</v>
      </c>
      <c r="G44" s="4" t="str">
        <f>ifna(if(vlookup(A44,Export!B:B,1,0)&lt;&gt;"","OK"),"")</f>
        <v>OK</v>
      </c>
      <c r="H44" s="4" t="str">
        <f>vlookup(A44,Status!A:C,3,0)</f>
        <v/>
      </c>
      <c r="I44" s="4" t="str">
        <f>IFERROR(__xludf.DUMMYFUNCTION("IF(or(D44="""",J44=0,L44=""0:""),"""",IFNA(INDEX(FILTER(Blocks!$A$2:$A1006,
                   Blocks!$E$2:$E1006&gt;=D44,
                   Blocks!$F$2:$F1006&gt;=E44,
                   Blocks!$D$2:$D1006&gt;=J44),1),""X""))"),"")</f>
        <v/>
      </c>
      <c r="J44" s="2">
        <f t="shared" si="1"/>
        <v>0</v>
      </c>
      <c r="K44" s="2" t="s">
        <v>146</v>
      </c>
      <c r="L44" s="2" t="s">
        <v>146</v>
      </c>
      <c r="M44" s="2" t="s">
        <v>146</v>
      </c>
      <c r="N44" s="2" t="s">
        <v>146</v>
      </c>
      <c r="O44" s="2" t="s">
        <v>146</v>
      </c>
      <c r="P44" s="2" t="s">
        <v>146</v>
      </c>
      <c r="Q44" s="2" t="s">
        <v>146</v>
      </c>
      <c r="R44" s="2" t="s">
        <v>146</v>
      </c>
      <c r="S44" s="2" t="s">
        <v>146</v>
      </c>
      <c r="T44" s="2" t="s">
        <v>754</v>
      </c>
    </row>
    <row r="45">
      <c r="A45" s="2" t="s">
        <v>104</v>
      </c>
      <c r="B45" s="2" t="s">
        <v>613</v>
      </c>
      <c r="C45" s="2" t="s">
        <v>755</v>
      </c>
      <c r="D45" s="19">
        <v>1092.66</v>
      </c>
      <c r="E45" s="19">
        <v>1119.54</v>
      </c>
      <c r="F45" s="4" t="b">
        <f>IFERROR(and(vlookup(D45,Blocks!E$2:E$12,1,0),vlookup(E45,Blocks!F$2:F$12,1,0)),false)</f>
        <v>0</v>
      </c>
      <c r="G45" s="4" t="str">
        <f>ifna(if(vlookup(A45,Export!B:B,1,0)&lt;&gt;"","OK"),"")</f>
        <v/>
      </c>
      <c r="H45" s="4" t="str">
        <f>vlookup(A45,Status!A:C,3,0)</f>
        <v/>
      </c>
      <c r="I45" s="4" t="str">
        <f>IFERROR(__xludf.DUMMYFUNCTION("IF(or(D45="""",J45=0,L45=""0:""),"""",IFNA(INDEX(FILTER(Blocks!$A$2:$A1006,
                   Blocks!$E$2:$E1006&gt;=D45,
                   Blocks!$F$2:$F1006&gt;=E45,
                   Blocks!$D$2:$D1006&gt;=J45),1),""X""))"),"ACH")</f>
        <v>ACH</v>
      </c>
      <c r="J45" s="2">
        <f t="shared" si="1"/>
        <v>23</v>
      </c>
      <c r="K45" s="2" t="s">
        <v>176</v>
      </c>
      <c r="L45" s="2" t="s">
        <v>177</v>
      </c>
      <c r="M45" s="2" t="s">
        <v>146</v>
      </c>
      <c r="N45" s="2" t="s">
        <v>146</v>
      </c>
      <c r="O45" s="2" t="s">
        <v>756</v>
      </c>
      <c r="P45" s="2" t="s">
        <v>241</v>
      </c>
      <c r="Q45" s="2" t="s">
        <v>757</v>
      </c>
      <c r="R45" s="2" t="s">
        <v>146</v>
      </c>
      <c r="S45" s="2" t="s">
        <v>146</v>
      </c>
    </row>
    <row r="46">
      <c r="A46" s="2" t="s">
        <v>107</v>
      </c>
      <c r="B46" s="2" t="s">
        <v>625</v>
      </c>
      <c r="C46" s="2" t="s">
        <v>758</v>
      </c>
      <c r="D46" s="2">
        <v>466.555</v>
      </c>
      <c r="E46" s="2">
        <v>466.555</v>
      </c>
      <c r="F46" s="4" t="b">
        <f>IFERROR(and(vlookup(D46,Blocks!E$2:E$12,1,0),vlookup(E46,Blocks!F$2:F$12,1,0)),false)</f>
        <v>0</v>
      </c>
      <c r="G46" s="4" t="str">
        <f>ifna(if(vlookup(A46,Export!B:B,1,0)&lt;&gt;"","OK"),"")</f>
        <v>OK</v>
      </c>
      <c r="H46" s="4" t="str">
        <f>vlookup(A46,Status!A:C,3,0)</f>
        <v/>
      </c>
      <c r="I46" s="4" t="str">
        <f>IFERROR(__xludf.DUMMYFUNCTION("IF(or(D46="""",J46=0,L46=""0:""),"""",IFNA(INDEX(FILTER(Blocks!$A$2:$A1006,
                   Blocks!$E$2:$E1006&gt;=D46,
                   Blocks!$F$2:$F1006&gt;=E46,
                   Blocks!$D$2:$D1006&gt;=J46),1),""X""))"),"E")</f>
        <v>E</v>
      </c>
      <c r="J46" s="2">
        <f t="shared" si="1"/>
        <v>6</v>
      </c>
      <c r="K46" s="2" t="s">
        <v>368</v>
      </c>
      <c r="L46" s="2" t="s">
        <v>369</v>
      </c>
      <c r="M46" s="2" t="s">
        <v>146</v>
      </c>
      <c r="N46" s="2" t="s">
        <v>146</v>
      </c>
      <c r="O46" s="2" t="s">
        <v>308</v>
      </c>
      <c r="P46" s="2" t="s">
        <v>309</v>
      </c>
      <c r="Q46" s="2" t="s">
        <v>759</v>
      </c>
      <c r="R46" s="2" t="s">
        <v>146</v>
      </c>
      <c r="S46" s="2" t="s">
        <v>146</v>
      </c>
      <c r="T46" s="4" t="s">
        <v>760</v>
      </c>
    </row>
    <row r="47">
      <c r="A47" s="2" t="s">
        <v>108</v>
      </c>
      <c r="B47" s="2" t="s">
        <v>630</v>
      </c>
      <c r="C47" s="2" t="s">
        <v>761</v>
      </c>
      <c r="D47" s="2">
        <v>287.07</v>
      </c>
      <c r="E47" s="2">
        <v>290.71</v>
      </c>
      <c r="F47" s="4" t="b">
        <f>IFERROR(and(vlookup(D47,Blocks!E$2:E$12,1,0),vlookup(E47,Blocks!F$2:F$12,1,0)),false)</f>
        <v>0</v>
      </c>
      <c r="G47" s="4" t="str">
        <f>ifna(if(vlookup(A47,Export!B:B,1,0)&lt;&gt;"","OK"),"")</f>
        <v>OK</v>
      </c>
      <c r="H47" s="4" t="str">
        <f>vlookup(A47,Status!A:C,3,0)</f>
        <v>Approved</v>
      </c>
      <c r="I47" s="4" t="str">
        <f>IFERROR(__xludf.DUMMYFUNCTION("IF(or(D47="""",J47=0,L47=""0:""),"""",IFNA(INDEX(FILTER(Blocks!$A$2:$A1006,
                   Blocks!$E$2:$E1006&gt;=D47,
                   Blocks!$F$2:$F1006&gt;=E47,
                   Blocks!$D$2:$D1006&gt;=J47),1),""X""))"),"E")</f>
        <v>E</v>
      </c>
      <c r="J47" s="2">
        <f t="shared" si="1"/>
        <v>5</v>
      </c>
      <c r="K47" s="2" t="s">
        <v>762</v>
      </c>
      <c r="L47" s="2" t="s">
        <v>177</v>
      </c>
      <c r="M47" s="2" t="s">
        <v>763</v>
      </c>
      <c r="N47" s="2" t="s">
        <v>146</v>
      </c>
      <c r="O47" s="2" t="s">
        <v>146</v>
      </c>
      <c r="P47" s="2" t="s">
        <v>146</v>
      </c>
      <c r="Q47" s="2" t="s">
        <v>146</v>
      </c>
      <c r="R47" s="2" t="s">
        <v>146</v>
      </c>
      <c r="S47" s="2" t="s">
        <v>764</v>
      </c>
      <c r="T47" s="4" t="s">
        <v>765</v>
      </c>
    </row>
    <row r="48">
      <c r="A48" s="2" t="s">
        <v>110</v>
      </c>
      <c r="B48" s="2" t="s">
        <v>643</v>
      </c>
      <c r="C48" s="2" t="s">
        <v>766</v>
      </c>
      <c r="D48" s="2">
        <v>550.0</v>
      </c>
      <c r="E48" s="2">
        <v>550.0</v>
      </c>
      <c r="F48" s="4" t="b">
        <f>IFERROR(and(vlookup(D48,Blocks!E$2:E$12,1,0),vlookup(E48,Blocks!F$2:F$12,1,0)),false)</f>
        <v>1</v>
      </c>
      <c r="G48" s="4" t="str">
        <f>ifna(if(vlookup(A48,Export!B:B,1,0)&lt;&gt;"","OK"),"")</f>
        <v>OK</v>
      </c>
      <c r="H48" s="4" t="str">
        <f>vlookup(A48,Status!A:C,3,0)</f>
        <v>Approved</v>
      </c>
      <c r="I48" s="4" t="str">
        <f>IFERROR(__xludf.DUMMYFUNCTION("IF(or(D48="""",J48=0,L48=""0:""),"""",IFNA(INDEX(FILTER(Blocks!$A$2:$A1006,
                   Blocks!$E$2:$E1006&gt;=D48,
                   Blocks!$F$2:$F1006&gt;=E48,
                   Blocks!$D$2:$D1006&gt;=J48),1),""X""))"),"D")</f>
        <v>D</v>
      </c>
      <c r="J48" s="2">
        <f t="shared" si="1"/>
        <v>9</v>
      </c>
      <c r="K48" s="2" t="s">
        <v>176</v>
      </c>
      <c r="L48" s="2" t="s">
        <v>177</v>
      </c>
      <c r="M48" s="2" t="s">
        <v>146</v>
      </c>
      <c r="N48" s="2" t="s">
        <v>146</v>
      </c>
      <c r="O48" s="2" t="s">
        <v>767</v>
      </c>
      <c r="P48" s="2" t="s">
        <v>241</v>
      </c>
      <c r="Q48" s="2" t="s">
        <v>768</v>
      </c>
      <c r="R48" s="2" t="s">
        <v>146</v>
      </c>
      <c r="S48" s="2" t="s">
        <v>146</v>
      </c>
      <c r="T48" s="14"/>
    </row>
    <row r="49">
      <c r="A49" s="2" t="s">
        <v>112</v>
      </c>
      <c r="B49" s="2" t="s">
        <v>660</v>
      </c>
      <c r="C49" s="2" t="s">
        <v>769</v>
      </c>
      <c r="D49" s="2">
        <v>1110.0</v>
      </c>
      <c r="E49" s="2">
        <v>1110.0</v>
      </c>
      <c r="F49" s="4" t="b">
        <f>IFERROR(and(vlookup(D49,Blocks!E$2:E$12,1,0),vlookup(E49,Blocks!F$2:F$12,1,0)),false)</f>
        <v>1</v>
      </c>
      <c r="G49" s="4" t="str">
        <f>ifna(if(vlookup(A49,Export!B:B,1,0)&lt;&gt;"","OK"),"")</f>
        <v>OK</v>
      </c>
      <c r="H49" s="4" t="str">
        <f>vlookup(A49,Status!A:C,3,0)</f>
        <v>Approved</v>
      </c>
      <c r="I49" s="4" t="str">
        <f>IFERROR(__xludf.DUMMYFUNCTION("IF(or(D49="""",J49=0,L49=""0:""),"""",IFNA(INDEX(FILTER(Blocks!$A$2:$A1006,
                   Blocks!$E$2:$E1006&gt;=D49,
                   Blocks!$F$2:$F1006&gt;=E49,
                   Blocks!$D$2:$D1006&gt;=J49),1),""X""))"),"A")</f>
        <v>A</v>
      </c>
      <c r="J49" s="2">
        <f t="shared" si="1"/>
        <v>22</v>
      </c>
      <c r="K49" s="2" t="s">
        <v>176</v>
      </c>
      <c r="L49" s="2" t="s">
        <v>177</v>
      </c>
      <c r="M49" s="2" t="s">
        <v>146</v>
      </c>
      <c r="N49" s="2" t="s">
        <v>146</v>
      </c>
      <c r="O49" s="2" t="s">
        <v>770</v>
      </c>
      <c r="P49" s="2" t="s">
        <v>771</v>
      </c>
      <c r="Q49" s="2" t="s">
        <v>772</v>
      </c>
      <c r="R49" s="2" t="s">
        <v>146</v>
      </c>
      <c r="S49" s="2" t="s">
        <v>146</v>
      </c>
      <c r="T49" s="14"/>
    </row>
    <row r="50">
      <c r="A50" s="2" t="s">
        <v>114</v>
      </c>
      <c r="B50" s="2" t="s">
        <v>671</v>
      </c>
      <c r="C50" s="2" t="s">
        <v>773</v>
      </c>
      <c r="D50" s="2">
        <v>950.695</v>
      </c>
      <c r="E50" s="2">
        <v>968.615</v>
      </c>
      <c r="F50" s="4" t="b">
        <f>IFERROR(and(vlookup(D50,Blocks!E$2:E$12,1,0),vlookup(E50,Blocks!F$2:F$12,1,0)),false)</f>
        <v>0</v>
      </c>
      <c r="G50" s="4" t="str">
        <f>ifna(if(vlookup(A50,Export!B:B,1,0)&lt;&gt;"","OK"),"")</f>
        <v/>
      </c>
      <c r="H50" s="4" t="str">
        <f>vlookup(A50,Status!A:C,3,0)</f>
        <v/>
      </c>
      <c r="I50" s="24"/>
      <c r="J50" s="2">
        <f t="shared" si="1"/>
        <v>18</v>
      </c>
      <c r="K50" s="2" t="s">
        <v>176</v>
      </c>
      <c r="L50" s="2" t="s">
        <v>177</v>
      </c>
      <c r="M50" s="2" t="s">
        <v>146</v>
      </c>
      <c r="N50" s="2" t="s">
        <v>146</v>
      </c>
      <c r="O50" s="2" t="s">
        <v>774</v>
      </c>
      <c r="P50" s="2" t="s">
        <v>771</v>
      </c>
      <c r="Q50" s="2" t="s">
        <v>775</v>
      </c>
      <c r="R50" s="2" t="s">
        <v>146</v>
      </c>
      <c r="S50" s="2" t="s">
        <v>146</v>
      </c>
      <c r="T50" s="14"/>
    </row>
    <row r="51">
      <c r="D51" s="3"/>
      <c r="E51" s="3"/>
      <c r="F51" s="4"/>
      <c r="G51" s="4"/>
      <c r="H51" s="4"/>
      <c r="I51" s="4"/>
      <c r="T51" s="4"/>
    </row>
    <row r="52">
      <c r="E52" s="3" t="str">
        <f t="array" ref="E52:E63">sort(unique(I2:I51))</f>
        <v/>
      </c>
      <c r="K52" s="25" t="s">
        <v>776</v>
      </c>
      <c r="L52" s="26" t="str">
        <f t="array" ref="L52:S52">TRANSPOSE(E53:E60)</f>
        <v>A</v>
      </c>
      <c r="M52" s="26" t="s">
        <v>319</v>
      </c>
      <c r="N52" s="26" t="s">
        <v>326</v>
      </c>
      <c r="O52" s="26" t="s">
        <v>312</v>
      </c>
      <c r="P52" s="26" t="s">
        <v>304</v>
      </c>
      <c r="Q52" s="26" t="s">
        <v>296</v>
      </c>
      <c r="R52" s="26" t="s">
        <v>292</v>
      </c>
      <c r="S52" s="26" t="s">
        <v>276</v>
      </c>
      <c r="T52" s="27" t="s">
        <v>777</v>
      </c>
    </row>
    <row r="53">
      <c r="E53" s="3" t="s">
        <v>299</v>
      </c>
      <c r="F53" s="3">
        <f t="shared" ref="F53:F62" si="2">countifs(F$2:F$51,True,I$2:I$51,$E53)</f>
        <v>7</v>
      </c>
      <c r="G53" s="3">
        <f t="shared" ref="G53:G62" si="3">countifs(F$2:F$51,True,G$2:G$51,"OK",I$2:I$51,$E53)</f>
        <v>7</v>
      </c>
      <c r="H53" s="3">
        <f t="shared" ref="H53:H62" si="4">countifs(F$2:F$51,True,H$2:H$51,"Approved",$I$2:$I$51,$E53)</f>
        <v>2</v>
      </c>
      <c r="I53" s="3">
        <f t="shared" ref="I53:I62" si="5">COUNTIFS(I$2:I$51,$E53)</f>
        <v>16</v>
      </c>
      <c r="K53" s="28">
        <v>1.0</v>
      </c>
      <c r="M53" s="2">
        <v>1.0</v>
      </c>
      <c r="P53" s="2">
        <v>1.0</v>
      </c>
      <c r="Q53" s="2">
        <v>1.0</v>
      </c>
      <c r="R53" s="2">
        <v>1.0</v>
      </c>
      <c r="T53" s="29">
        <f t="shared" ref="T53:T62" si="6">(L53*L$69+M53*M$69+N53*N$69+O53*O$69+P53*P$69+Q53*Q$69+R53*R$69+S53*S$69)</f>
        <v>1.1875</v>
      </c>
    </row>
    <row r="54">
      <c r="E54" s="3" t="s">
        <v>319</v>
      </c>
      <c r="F54" s="3">
        <f t="shared" si="2"/>
        <v>1</v>
      </c>
      <c r="G54" s="3">
        <f t="shared" si="3"/>
        <v>1</v>
      </c>
      <c r="H54" s="3">
        <f t="shared" si="4"/>
        <v>0</v>
      </c>
      <c r="I54" s="3">
        <f t="shared" si="5"/>
        <v>1</v>
      </c>
      <c r="K54" s="28">
        <v>2.0</v>
      </c>
      <c r="M54" s="2">
        <v>1.0</v>
      </c>
      <c r="P54" s="2">
        <v>1.0</v>
      </c>
      <c r="Q54" s="2">
        <v>1.0</v>
      </c>
      <c r="R54" s="2">
        <v>1.0</v>
      </c>
      <c r="T54" s="29">
        <f t="shared" si="6"/>
        <v>1.1875</v>
      </c>
    </row>
    <row r="55">
      <c r="E55" s="3" t="s">
        <v>326</v>
      </c>
      <c r="F55" s="3">
        <f t="shared" si="2"/>
        <v>0</v>
      </c>
      <c r="G55" s="3">
        <f t="shared" si="3"/>
        <v>0</v>
      </c>
      <c r="H55" s="3">
        <f t="shared" si="4"/>
        <v>0</v>
      </c>
      <c r="I55" s="3">
        <f t="shared" si="5"/>
        <v>1</v>
      </c>
      <c r="K55" s="28">
        <v>3.0</v>
      </c>
      <c r="L55" s="2">
        <v>3.0</v>
      </c>
      <c r="Q55" s="2">
        <v>1.0</v>
      </c>
      <c r="T55" s="29">
        <f t="shared" si="6"/>
        <v>0.875</v>
      </c>
    </row>
    <row r="56">
      <c r="E56" s="3" t="s">
        <v>312</v>
      </c>
      <c r="F56" s="3">
        <f t="shared" si="2"/>
        <v>0</v>
      </c>
      <c r="G56" s="3">
        <f t="shared" si="3"/>
        <v>0</v>
      </c>
      <c r="H56" s="3">
        <f t="shared" si="4"/>
        <v>0</v>
      </c>
      <c r="I56" s="3">
        <f t="shared" si="5"/>
        <v>1</v>
      </c>
      <c r="K56" s="28">
        <v>4.0</v>
      </c>
      <c r="L56" s="2">
        <v>2.0</v>
      </c>
      <c r="N56" s="2">
        <v>1.0</v>
      </c>
      <c r="Q56" s="2">
        <v>1.0</v>
      </c>
      <c r="T56" s="29">
        <f t="shared" si="6"/>
        <v>1.5</v>
      </c>
    </row>
    <row r="57">
      <c r="E57" s="3" t="s">
        <v>304</v>
      </c>
      <c r="F57" s="3">
        <f t="shared" si="2"/>
        <v>1</v>
      </c>
      <c r="G57" s="3">
        <f t="shared" si="3"/>
        <v>1</v>
      </c>
      <c r="H57" s="3">
        <f t="shared" si="4"/>
        <v>0</v>
      </c>
      <c r="I57" s="3">
        <f t="shared" si="5"/>
        <v>4</v>
      </c>
      <c r="K57" s="28">
        <v>5.0</v>
      </c>
      <c r="O57" s="2">
        <v>2.0</v>
      </c>
      <c r="T57" s="29">
        <f t="shared" si="6"/>
        <v>0.75</v>
      </c>
    </row>
    <row r="58">
      <c r="E58" s="3" t="s">
        <v>296</v>
      </c>
      <c r="F58" s="3">
        <f t="shared" si="2"/>
        <v>2</v>
      </c>
      <c r="G58" s="3">
        <f t="shared" si="3"/>
        <v>2</v>
      </c>
      <c r="H58" s="3">
        <f t="shared" si="4"/>
        <v>0</v>
      </c>
      <c r="I58" s="3">
        <f t="shared" si="5"/>
        <v>3</v>
      </c>
      <c r="K58" s="28">
        <v>6.0</v>
      </c>
      <c r="L58" s="2">
        <v>2.0</v>
      </c>
      <c r="O58" s="2">
        <v>1.0</v>
      </c>
      <c r="T58" s="29">
        <f t="shared" si="6"/>
        <v>0.875</v>
      </c>
    </row>
    <row r="59">
      <c r="E59" s="3" t="s">
        <v>292</v>
      </c>
      <c r="F59" s="3">
        <f t="shared" si="2"/>
        <v>1</v>
      </c>
      <c r="G59" s="3">
        <f t="shared" si="3"/>
        <v>1</v>
      </c>
      <c r="H59" s="3">
        <f t="shared" si="4"/>
        <v>0</v>
      </c>
      <c r="I59" s="3">
        <f t="shared" si="5"/>
        <v>4</v>
      </c>
      <c r="K59" s="28">
        <v>7.0</v>
      </c>
      <c r="L59" s="2">
        <v>4.0</v>
      </c>
      <c r="T59" s="29">
        <f t="shared" si="6"/>
        <v>1</v>
      </c>
    </row>
    <row r="60">
      <c r="E60" s="3" t="s">
        <v>276</v>
      </c>
      <c r="F60" s="3">
        <f t="shared" si="2"/>
        <v>2</v>
      </c>
      <c r="G60" s="3">
        <f t="shared" si="3"/>
        <v>1</v>
      </c>
      <c r="H60" s="3">
        <f t="shared" si="4"/>
        <v>1</v>
      </c>
      <c r="I60" s="3">
        <f t="shared" si="5"/>
        <v>6</v>
      </c>
      <c r="K60" s="28">
        <v>8.0</v>
      </c>
      <c r="L60" s="2">
        <v>3.0</v>
      </c>
      <c r="T60" s="29">
        <f t="shared" si="6"/>
        <v>0.75</v>
      </c>
    </row>
    <row r="61">
      <c r="E61" s="3" t="s">
        <v>260</v>
      </c>
      <c r="F61" s="3">
        <f t="shared" si="2"/>
        <v>0</v>
      </c>
      <c r="G61" s="3">
        <f t="shared" si="3"/>
        <v>0</v>
      </c>
      <c r="H61" s="3">
        <f t="shared" si="4"/>
        <v>0</v>
      </c>
      <c r="I61" s="3">
        <f t="shared" si="5"/>
        <v>2</v>
      </c>
      <c r="K61" s="28">
        <v>9.0</v>
      </c>
      <c r="T61" s="29">
        <f t="shared" si="6"/>
        <v>0</v>
      </c>
    </row>
    <row r="62">
      <c r="E62" s="3" t="s">
        <v>778</v>
      </c>
      <c r="F62" s="3">
        <f t="shared" si="2"/>
        <v>1</v>
      </c>
      <c r="G62" s="3">
        <f t="shared" si="3"/>
        <v>1</v>
      </c>
      <c r="H62" s="3">
        <f t="shared" si="4"/>
        <v>0</v>
      </c>
      <c r="I62" s="3">
        <f t="shared" si="5"/>
        <v>1</v>
      </c>
      <c r="K62" s="28">
        <v>10.0</v>
      </c>
      <c r="T62" s="29">
        <f t="shared" si="6"/>
        <v>0</v>
      </c>
    </row>
    <row r="63">
      <c r="E63" s="3"/>
      <c r="K63" s="30"/>
      <c r="L63" s="31"/>
      <c r="M63" s="31"/>
      <c r="N63" s="31"/>
      <c r="O63" s="31"/>
      <c r="P63" s="31"/>
      <c r="Q63" s="31"/>
      <c r="R63" s="31"/>
      <c r="S63" s="31"/>
      <c r="T63" s="32"/>
    </row>
    <row r="65">
      <c r="F65" s="3">
        <f t="shared" ref="F65:I65" si="7">sum(F53:F64)-countif(F1:F51,"X")</f>
        <v>15</v>
      </c>
      <c r="G65" s="3">
        <f t="shared" si="7"/>
        <v>14</v>
      </c>
      <c r="H65" s="3">
        <f t="shared" si="7"/>
        <v>3</v>
      </c>
      <c r="I65" s="3">
        <f t="shared" si="7"/>
        <v>38</v>
      </c>
      <c r="J65" s="2" t="s">
        <v>779</v>
      </c>
      <c r="K65" s="3">
        <f>SUM(L65:S65)</f>
        <v>28</v>
      </c>
      <c r="L65" s="3">
        <f t="shared" ref="L65:S65" si="8">sum(L53:L64)</f>
        <v>14</v>
      </c>
      <c r="M65" s="3">
        <f t="shared" si="8"/>
        <v>2</v>
      </c>
      <c r="N65" s="3">
        <f t="shared" si="8"/>
        <v>1</v>
      </c>
      <c r="O65" s="3">
        <f t="shared" si="8"/>
        <v>3</v>
      </c>
      <c r="P65" s="3">
        <f t="shared" si="8"/>
        <v>2</v>
      </c>
      <c r="Q65" s="3">
        <f t="shared" si="8"/>
        <v>4</v>
      </c>
      <c r="R65" s="3">
        <f t="shared" si="8"/>
        <v>2</v>
      </c>
      <c r="S65" s="3">
        <f t="shared" si="8"/>
        <v>0</v>
      </c>
    </row>
    <row r="66">
      <c r="E66" s="2" t="s">
        <v>780</v>
      </c>
      <c r="J66" s="3">
        <f>countif(J2:J51,0)</f>
        <v>5</v>
      </c>
    </row>
    <row r="67">
      <c r="E67" s="2" t="s">
        <v>781</v>
      </c>
      <c r="J67" s="3">
        <f>countif(D2:D46,"")</f>
        <v>8</v>
      </c>
    </row>
    <row r="68">
      <c r="E68" s="2" t="s">
        <v>782</v>
      </c>
      <c r="J68" s="3">
        <f>countif(F2:F51,false)-J67</f>
        <v>26</v>
      </c>
      <c r="T68" s="2" t="s">
        <v>783</v>
      </c>
    </row>
    <row r="69">
      <c r="K69" s="2" t="s">
        <v>777</v>
      </c>
      <c r="L69" s="18">
        <f>ifna(vlookup(L52,Blocks!$A$2:$I$12,9,0),0)</f>
        <v>0.25</v>
      </c>
      <c r="M69" s="18">
        <f>ifna(vlookup(M52,Blocks!$A$2:$I$12,9,0),0)</f>
        <v>0.5625</v>
      </c>
      <c r="N69" s="18">
        <f>ifna(vlookup(N52,Blocks!$A$2:$I$12,9,0),0)</f>
        <v>0.875</v>
      </c>
      <c r="O69" s="18">
        <f>ifna(vlookup(O52,Blocks!$A$2:$I$12,9,0),0)</f>
        <v>0.375</v>
      </c>
      <c r="P69" s="18">
        <f>ifna(vlookup(P52,Blocks!$A$2:$I$12,9,0),0)</f>
        <v>0.375</v>
      </c>
      <c r="Q69" s="18">
        <f>ifna(vlookup(Q52,Blocks!$A$2:$I$12,9,0),0)</f>
        <v>0.125</v>
      </c>
      <c r="R69" s="18">
        <f>ifna(vlookup(R52,Blocks!$A$2:$I$12,9,0),0)</f>
        <v>0.125</v>
      </c>
      <c r="S69" s="18">
        <f>ifna(vlookup(S52,Blocks!$A$2:$I$12,9,0),0)</f>
        <v>0.0625</v>
      </c>
      <c r="T69" s="33">
        <f>countif(T53:T63,"&gt;0")-sum(T53:T63)</f>
        <v>-0.125</v>
      </c>
    </row>
    <row r="70">
      <c r="T70" s="34">
        <f>T69/countif(T53:T62,"&gt;0")</f>
        <v>-0.015625</v>
      </c>
    </row>
  </sheetData>
  <conditionalFormatting sqref="J2:J51">
    <cfRule type="cellIs" dxfId="4" priority="1" operator="equal">
      <formula>0</formula>
    </cfRule>
  </conditionalFormatting>
  <conditionalFormatting sqref="D2:E51">
    <cfRule type="containsBlanks" dxfId="4" priority="2">
      <formula>LEN(TRIM(D2))=0</formula>
    </cfRule>
  </conditionalFormatting>
  <conditionalFormatting sqref="K2:L51">
    <cfRule type="cellIs" dxfId="4" priority="3" operator="equal">
      <formula>"0:"</formula>
    </cfRule>
  </conditionalFormatting>
  <conditionalFormatting sqref="A2:A51">
    <cfRule type="expression" dxfId="3" priority="4">
      <formula>AND(I2&lt;&gt;"",F2=true,G2="OK",H2="Approved")</formula>
    </cfRule>
  </conditionalFormatting>
  <conditionalFormatting sqref="K53:K62">
    <cfRule type="expression" dxfId="3" priority="5">
      <formula>T53&gt;0</formula>
    </cfRule>
  </conditionalFormatting>
  <conditionalFormatting sqref="I1:I1006 F65:H65">
    <cfRule type="cellIs" dxfId="6" priority="6" operator="equal">
      <formula>"ACE"</formula>
    </cfRule>
  </conditionalFormatting>
  <conditionalFormatting sqref="I1:I1006 F65:H65">
    <cfRule type="cellIs" dxfId="7" priority="7" operator="equal">
      <formula>"ACV"</formula>
    </cfRule>
  </conditionalFormatting>
  <conditionalFormatting sqref="I1:I1006 F65:H65">
    <cfRule type="cellIs" dxfId="7" priority="8" operator="equal">
      <formula>"ACH"</formula>
    </cfRule>
  </conditionalFormatting>
  <conditionalFormatting sqref="H1:H52 H63:H1006">
    <cfRule type="cellIs" dxfId="4" priority="9" operator="equal">
      <formula>"Rejected"</formula>
    </cfRule>
  </conditionalFormatting>
  <conditionalFormatting sqref="H1:H52 H63:H1006">
    <cfRule type="cellIs" dxfId="7" priority="10" operator="equal">
      <formula>"Pending"</formula>
    </cfRule>
  </conditionalFormatting>
  <conditionalFormatting sqref="H1:H52 H63:H1006">
    <cfRule type="cellIs" dxfId="3" priority="11" operator="equal">
      <formula>"Approved"</formula>
    </cfRule>
  </conditionalFormatting>
  <conditionalFormatting sqref="D2:F51">
    <cfRule type="expression" dxfId="4" priority="12">
      <formula>not($F2)</formula>
    </cfRule>
  </conditionalFormatting>
  <conditionalFormatting sqref="A2:A51">
    <cfRule type="expression" dxfId="7" priority="13">
      <formula>AND(I2&lt;&gt;"",F2=true,G2="OK")</formula>
    </cfRule>
  </conditionalFormatting>
  <conditionalFormatting sqref="A2:A51">
    <cfRule type="expression" dxfId="6" priority="14">
      <formula>AND(I2&lt;&gt;"",G2="OK")</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0"/>
    <col customWidth="1" min="2" max="4" width="8.0"/>
  </cols>
  <sheetData>
    <row r="1">
      <c r="A1" s="5"/>
      <c r="B1" s="5"/>
      <c r="C1" s="5"/>
      <c r="D1" s="5"/>
      <c r="E1" s="2" t="s">
        <v>70</v>
      </c>
    </row>
    <row r="2">
      <c r="A2" s="6" t="s">
        <v>75</v>
      </c>
      <c r="B2" s="7" t="str">
        <f t="shared" ref="B2:B43" si="1">left(SUBSTITUTE(A2,"[",""), 3)</f>
        <v>A02</v>
      </c>
      <c r="C2" s="5" t="str">
        <f t="shared" ref="C2:C43" si="2">right(A2,3)</f>
        <v>yte</v>
      </c>
      <c r="D2" s="5" t="str">
        <f t="shared" ref="D2:D43" si="3">iferror(mid(A2,find("(",A2)+1,3),"")</f>
        <v/>
      </c>
    </row>
    <row r="3">
      <c r="A3" s="8" t="s">
        <v>120</v>
      </c>
      <c r="B3" s="7" t="str">
        <f t="shared" si="1"/>
        <v>A06</v>
      </c>
      <c r="C3" s="5" t="str">
        <f t="shared" si="2"/>
        <v>HIP</v>
      </c>
      <c r="D3" s="5" t="str">
        <f t="shared" si="3"/>
        <v/>
      </c>
    </row>
    <row r="4">
      <c r="A4" s="6" t="s">
        <v>124</v>
      </c>
      <c r="B4" s="7" t="str">
        <f t="shared" si="1"/>
        <v>A64</v>
      </c>
      <c r="C4" s="5" t="str">
        <f t="shared" si="2"/>
        <v>hip</v>
      </c>
      <c r="D4" s="5" t="str">
        <f t="shared" si="3"/>
        <v/>
      </c>
    </row>
    <row r="5">
      <c r="A5" s="8" t="s">
        <v>127</v>
      </c>
      <c r="B5" s="7" t="str">
        <f t="shared" si="1"/>
        <v>A07</v>
      </c>
      <c r="C5" s="5" t="str">
        <f t="shared" si="2"/>
        <v>nts</v>
      </c>
      <c r="D5" s="5" t="str">
        <f t="shared" si="3"/>
        <v/>
      </c>
    </row>
    <row r="6">
      <c r="A6" s="6" t="s">
        <v>128</v>
      </c>
      <c r="B6" s="7" t="str">
        <f t="shared" si="1"/>
        <v>B18</v>
      </c>
      <c r="C6" s="5" t="str">
        <f t="shared" si="2"/>
        <v>ton</v>
      </c>
      <c r="D6" s="5" t="str">
        <f t="shared" si="3"/>
        <v/>
      </c>
    </row>
    <row r="7">
      <c r="A7" s="8" t="s">
        <v>129</v>
      </c>
      <c r="B7" s="7" t="str">
        <f t="shared" si="1"/>
        <v>C05</v>
      </c>
      <c r="C7" s="5" t="str">
        <f t="shared" si="2"/>
        <v>MOS</v>
      </c>
      <c r="D7" s="5" t="str">
        <f t="shared" si="3"/>
        <v/>
      </c>
    </row>
    <row r="8">
      <c r="A8" s="9" t="s">
        <v>133</v>
      </c>
      <c r="B8" s="5" t="str">
        <f t="shared" si="1"/>
        <v>A12</v>
      </c>
      <c r="C8" s="7" t="str">
        <f t="shared" si="2"/>
        <v>A12</v>
      </c>
      <c r="D8" s="5" t="str">
        <f t="shared" si="3"/>
        <v/>
      </c>
    </row>
    <row r="9">
      <c r="A9" s="10" t="s">
        <v>136</v>
      </c>
      <c r="B9" s="5" t="str">
        <f t="shared" si="1"/>
        <v>D10</v>
      </c>
      <c r="C9" s="5" t="str">
        <f t="shared" si="2"/>
        <v>10)</v>
      </c>
      <c r="D9" s="7" t="str">
        <f t="shared" si="3"/>
        <v>D10</v>
      </c>
    </row>
    <row r="10">
      <c r="A10" s="9" t="s">
        <v>139</v>
      </c>
      <c r="B10" s="5" t="str">
        <f t="shared" si="1"/>
        <v>A37</v>
      </c>
      <c r="C10" s="5" t="str">
        <f t="shared" si="2"/>
        <v>37)</v>
      </c>
      <c r="D10" s="7" t="str">
        <f t="shared" si="3"/>
        <v>A37</v>
      </c>
    </row>
    <row r="11">
      <c r="A11" s="8" t="s">
        <v>141</v>
      </c>
      <c r="B11" s="7" t="str">
        <f t="shared" si="1"/>
        <v>A10</v>
      </c>
      <c r="C11" s="5" t="str">
        <f t="shared" si="2"/>
        <v>cel</v>
      </c>
      <c r="D11" s="5" t="str">
        <f t="shared" si="3"/>
        <v/>
      </c>
    </row>
    <row r="12">
      <c r="A12" s="6" t="s">
        <v>150</v>
      </c>
      <c r="B12" s="7" t="str">
        <f t="shared" si="1"/>
        <v>A63</v>
      </c>
      <c r="C12" s="5" t="str">
        <f t="shared" si="2"/>
        <v>ats</v>
      </c>
      <c r="D12" s="5" t="str">
        <f t="shared" si="3"/>
        <v/>
      </c>
    </row>
    <row r="13">
      <c r="A13" s="10" t="s">
        <v>153</v>
      </c>
      <c r="B13" s="7" t="str">
        <f t="shared" si="1"/>
        <v>B11</v>
      </c>
      <c r="C13" s="5" t="str">
        <f t="shared" si="2"/>
        <v>sIC</v>
      </c>
      <c r="D13" s="5" t="str">
        <f t="shared" si="3"/>
        <v/>
      </c>
    </row>
    <row r="14">
      <c r="A14" s="6" t="s">
        <v>158</v>
      </c>
      <c r="B14" s="7" t="str">
        <f t="shared" si="1"/>
        <v>B12</v>
      </c>
      <c r="C14" s="5" t="str">
        <f t="shared" si="2"/>
        <v>ble</v>
      </c>
      <c r="D14" s="5" t="str">
        <f t="shared" si="3"/>
        <v/>
      </c>
    </row>
    <row r="15">
      <c r="A15" s="10" t="s">
        <v>160</v>
      </c>
      <c r="B15" s="7" t="str">
        <f t="shared" si="1"/>
        <v>B22</v>
      </c>
      <c r="C15" s="5" t="str">
        <f t="shared" si="2"/>
        <v>Jam</v>
      </c>
      <c r="D15" s="5" t="str">
        <f t="shared" si="3"/>
        <v/>
      </c>
    </row>
    <row r="16">
      <c r="A16" s="6" t="s">
        <v>162</v>
      </c>
      <c r="B16" s="7" t="str">
        <f t="shared" si="1"/>
        <v>A53</v>
      </c>
      <c r="C16" s="5" t="str">
        <f t="shared" si="2"/>
        <v>are</v>
      </c>
      <c r="D16" s="5" t="str">
        <f t="shared" si="3"/>
        <v/>
      </c>
    </row>
    <row r="17">
      <c r="A17" s="10" t="s">
        <v>164</v>
      </c>
      <c r="B17" s="5" t="str">
        <f t="shared" si="1"/>
        <v>D04</v>
      </c>
      <c r="C17" s="5" t="str">
        <f t="shared" si="2"/>
        <v>4 )</v>
      </c>
      <c r="D17" s="7" t="str">
        <f t="shared" si="3"/>
        <v>D04</v>
      </c>
    </row>
    <row r="18">
      <c r="A18" s="6" t="s">
        <v>167</v>
      </c>
      <c r="B18" s="7" t="str">
        <f t="shared" si="1"/>
        <v>D05</v>
      </c>
      <c r="C18" s="5" t="str">
        <f t="shared" si="2"/>
        <v>hip</v>
      </c>
      <c r="D18" s="5" t="str">
        <f t="shared" si="3"/>
        <v/>
      </c>
    </row>
    <row r="19">
      <c r="A19" s="10" t="s">
        <v>169</v>
      </c>
      <c r="B19" s="5" t="str">
        <f t="shared" si="1"/>
        <v>A68</v>
      </c>
      <c r="C19" s="5" t="str">
        <f t="shared" si="2"/>
        <v>68)</v>
      </c>
      <c r="D19" s="7" t="str">
        <f t="shared" si="3"/>
        <v>A68</v>
      </c>
    </row>
    <row r="20">
      <c r="A20" s="9" t="s">
        <v>171</v>
      </c>
      <c r="B20" s="5" t="str">
        <f t="shared" si="1"/>
        <v>A20</v>
      </c>
      <c r="C20" s="5" t="str">
        <f t="shared" si="2"/>
        <v>20)</v>
      </c>
      <c r="D20" s="7" t="str">
        <f t="shared" si="3"/>
        <v>A20</v>
      </c>
    </row>
    <row r="21">
      <c r="A21" s="10" t="s">
        <v>174</v>
      </c>
      <c r="B21" s="7" t="str">
        <f t="shared" si="1"/>
        <v>A43</v>
      </c>
      <c r="C21" s="5" t="str">
        <f t="shared" si="2"/>
        <v>LR8</v>
      </c>
      <c r="D21" s="5" t="str">
        <f t="shared" si="3"/>
        <v/>
      </c>
    </row>
    <row r="22">
      <c r="A22" s="9" t="s">
        <v>179</v>
      </c>
      <c r="B22" s="7" t="str">
        <f t="shared" si="1"/>
        <v>A49</v>
      </c>
      <c r="C22" s="5" t="str">
        <f t="shared" si="2"/>
        <v>uyu</v>
      </c>
      <c r="D22" s="5" t="str">
        <f t="shared" si="3"/>
        <v/>
      </c>
    </row>
    <row r="23">
      <c r="A23" s="8" t="s">
        <v>184</v>
      </c>
      <c r="B23" s="7" t="str">
        <f t="shared" si="1"/>
        <v>B04</v>
      </c>
      <c r="C23" s="5" t="str">
        <f t="shared" si="2"/>
        <v>URA</v>
      </c>
      <c r="D23" s="5" t="str">
        <f t="shared" si="3"/>
        <v/>
      </c>
    </row>
    <row r="24">
      <c r="A24" s="9" t="s">
        <v>187</v>
      </c>
      <c r="B24" s="5" t="str">
        <f t="shared" si="1"/>
        <v>D05</v>
      </c>
      <c r="C24" s="5" t="str">
        <f t="shared" si="2"/>
        <v>05)</v>
      </c>
      <c r="D24" s="7" t="str">
        <f t="shared" si="3"/>
        <v>D05</v>
      </c>
    </row>
    <row r="25">
      <c r="A25" s="8" t="s">
        <v>190</v>
      </c>
      <c r="B25" s="7" t="str">
        <f t="shared" si="1"/>
        <v>A56</v>
      </c>
      <c r="C25" s="5" t="str">
        <f t="shared" si="2"/>
        <v>RAM</v>
      </c>
      <c r="D25" s="5" t="str">
        <f t="shared" si="3"/>
        <v/>
      </c>
    </row>
    <row r="26">
      <c r="A26" s="6" t="s">
        <v>193</v>
      </c>
      <c r="B26" s="7" t="str">
        <f t="shared" si="1"/>
        <v>A09</v>
      </c>
      <c r="C26" s="5" t="str">
        <f t="shared" si="2"/>
        <v>spi</v>
      </c>
      <c r="D26" s="5" t="str">
        <f t="shared" si="3"/>
        <v/>
      </c>
    </row>
    <row r="27">
      <c r="A27" s="8" t="s">
        <v>194</v>
      </c>
      <c r="B27" s="7" t="str">
        <f t="shared" si="1"/>
        <v>B05</v>
      </c>
      <c r="C27" s="5" t="str">
        <f t="shared" si="2"/>
        <v>ger</v>
      </c>
      <c r="D27" s="5" t="str">
        <f t="shared" si="3"/>
        <v/>
      </c>
    </row>
    <row r="28">
      <c r="A28" s="9" t="s">
        <v>196</v>
      </c>
      <c r="B28" s="5" t="str">
        <f t="shared" si="1"/>
        <v>A34</v>
      </c>
      <c r="C28" s="5" t="str">
        <f t="shared" si="2"/>
        <v>34)</v>
      </c>
      <c r="D28" s="7" t="str">
        <f t="shared" si="3"/>
        <v>A34</v>
      </c>
    </row>
    <row r="29">
      <c r="A29" s="8" t="s">
        <v>198</v>
      </c>
      <c r="B29" s="7" t="str">
        <f t="shared" si="1"/>
        <v>B14</v>
      </c>
      <c r="C29" s="5" t="str">
        <f t="shared" si="2"/>
        <v>AOE</v>
      </c>
      <c r="D29" s="5" t="str">
        <f t="shared" si="3"/>
        <v/>
      </c>
    </row>
    <row r="30">
      <c r="A30" s="6" t="s">
        <v>201</v>
      </c>
      <c r="B30" s="7" t="str">
        <f t="shared" si="1"/>
        <v>A58</v>
      </c>
      <c r="C30" s="5" t="str">
        <f t="shared" si="2"/>
        <v>nal</v>
      </c>
      <c r="D30" s="5" t="str">
        <f t="shared" si="3"/>
        <v/>
      </c>
    </row>
    <row r="31">
      <c r="A31" s="8" t="s">
        <v>207</v>
      </c>
      <c r="B31" s="7" t="str">
        <f t="shared" si="1"/>
        <v>A66</v>
      </c>
      <c r="C31" s="5" t="str">
        <f t="shared" si="2"/>
        <v>nos</v>
      </c>
      <c r="D31" s="5" t="str">
        <f t="shared" si="3"/>
        <v/>
      </c>
    </row>
    <row r="32">
      <c r="A32" s="6" t="s">
        <v>211</v>
      </c>
      <c r="B32" s="7" t="str">
        <f t="shared" si="1"/>
        <v>D08</v>
      </c>
      <c r="C32" s="5" t="str">
        <f t="shared" si="2"/>
        <v>tor</v>
      </c>
      <c r="D32" s="5" t="str">
        <f t="shared" si="3"/>
        <v/>
      </c>
    </row>
    <row r="33">
      <c r="A33" s="8" t="s">
        <v>213</v>
      </c>
      <c r="B33" s="7" t="str">
        <f t="shared" si="1"/>
        <v>A40</v>
      </c>
      <c r="C33" s="5" t="str">
        <f t="shared" si="2"/>
        <v>per</v>
      </c>
      <c r="D33" s="5" t="str">
        <f t="shared" si="3"/>
        <v/>
      </c>
    </row>
    <row r="34">
      <c r="A34" s="6" t="s">
        <v>217</v>
      </c>
      <c r="B34" s="7" t="str">
        <f t="shared" si="1"/>
        <v>A01</v>
      </c>
      <c r="C34" s="5" t="str">
        <f t="shared" si="2"/>
        <v>FIC</v>
      </c>
      <c r="D34" s="5" t="str">
        <f t="shared" si="3"/>
        <v/>
      </c>
    </row>
    <row r="35">
      <c r="A35" s="8" t="s">
        <v>219</v>
      </c>
      <c r="B35" s="7" t="str">
        <f t="shared" si="1"/>
        <v>A44</v>
      </c>
      <c r="C35" s="5" t="str">
        <f t="shared" si="2"/>
        <v>JST</v>
      </c>
      <c r="D35" s="5" t="str">
        <f t="shared" si="3"/>
        <v/>
      </c>
    </row>
    <row r="36">
      <c r="A36" s="9" t="s">
        <v>228</v>
      </c>
      <c r="B36" s="5" t="str">
        <f t="shared" si="1"/>
        <v>C01</v>
      </c>
      <c r="C36" s="5" t="str">
        <f t="shared" si="2"/>
        <v>01)</v>
      </c>
      <c r="D36" s="7" t="str">
        <f t="shared" si="3"/>
        <v>C01</v>
      </c>
    </row>
    <row r="37">
      <c r="A37" s="10" t="s">
        <v>231</v>
      </c>
      <c r="B37" s="5" t="str">
        <f t="shared" si="1"/>
        <v>A13</v>
      </c>
      <c r="C37" s="5" t="str">
        <f t="shared" si="2"/>
        <v>13]</v>
      </c>
      <c r="D37" s="5" t="str">
        <f t="shared" si="3"/>
        <v/>
      </c>
    </row>
    <row r="38">
      <c r="A38" s="6" t="s">
        <v>233</v>
      </c>
      <c r="B38" s="5" t="str">
        <f t="shared" si="1"/>
        <v>SAR</v>
      </c>
      <c r="C38" s="5" t="str">
        <f t="shared" si="2"/>
        <v>ADC</v>
      </c>
      <c r="D38" s="5" t="str">
        <f t="shared" si="3"/>
        <v/>
      </c>
    </row>
    <row r="39">
      <c r="A39" s="8" t="s">
        <v>235</v>
      </c>
      <c r="B39" s="7" t="str">
        <f t="shared" si="1"/>
        <v>A54</v>
      </c>
      <c r="C39" s="5" t="str">
        <f t="shared" si="2"/>
        <v>abu</v>
      </c>
      <c r="D39" s="5" t="str">
        <f t="shared" si="3"/>
        <v/>
      </c>
    </row>
    <row r="40">
      <c r="A40" s="6" t="s">
        <v>238</v>
      </c>
      <c r="B40" s="7" t="str">
        <f t="shared" si="1"/>
        <v>A30</v>
      </c>
      <c r="C40" s="5" t="str">
        <f t="shared" si="2"/>
        <v>C-V</v>
      </c>
      <c r="D40" s="5" t="str">
        <f t="shared" si="3"/>
        <v/>
      </c>
    </row>
    <row r="41">
      <c r="A41" s="10" t="s">
        <v>244</v>
      </c>
      <c r="B41" s="5" t="str">
        <f t="shared" si="1"/>
        <v>B26</v>
      </c>
      <c r="C41" s="7" t="str">
        <f t="shared" si="2"/>
        <v>B26</v>
      </c>
      <c r="D41" s="5" t="str">
        <f t="shared" si="3"/>
        <v/>
      </c>
    </row>
    <row r="42">
      <c r="A42" s="12" t="s">
        <v>251</v>
      </c>
      <c r="B42" s="7" t="str">
        <f t="shared" si="1"/>
        <v>B24</v>
      </c>
      <c r="C42" s="5" t="str">
        <f t="shared" si="2"/>
        <v>rds</v>
      </c>
      <c r="D42" s="5" t="str">
        <f t="shared" si="3"/>
        <v/>
      </c>
    </row>
    <row r="43">
      <c r="A43" s="15" t="s">
        <v>257</v>
      </c>
      <c r="B43" s="5" t="str">
        <f t="shared" si="1"/>
        <v>D15</v>
      </c>
      <c r="C43" s="5" t="str">
        <f t="shared" si="2"/>
        <v>15)</v>
      </c>
      <c r="D43" s="7" t="str">
        <f t="shared" si="3"/>
        <v>D15</v>
      </c>
    </row>
  </sheetData>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3" max="3" width="16.38"/>
  </cols>
  <sheetData>
    <row r="1">
      <c r="A1" s="2" t="s">
        <v>2</v>
      </c>
      <c r="B1" s="2" t="s">
        <v>5</v>
      </c>
      <c r="C1" s="2" t="s">
        <v>6</v>
      </c>
    </row>
    <row r="2">
      <c r="A2" s="2" t="s">
        <v>0</v>
      </c>
      <c r="C2" s="3"/>
    </row>
    <row r="3">
      <c r="A3" s="2" t="s">
        <v>15</v>
      </c>
      <c r="C3" s="3"/>
    </row>
    <row r="4">
      <c r="A4" s="2" t="s">
        <v>17</v>
      </c>
      <c r="C4" s="3"/>
    </row>
    <row r="5">
      <c r="A5" s="2" t="s">
        <v>19</v>
      </c>
      <c r="C5" s="3"/>
    </row>
    <row r="6">
      <c r="A6" s="2" t="s">
        <v>24</v>
      </c>
      <c r="C6" s="3"/>
    </row>
    <row r="7">
      <c r="A7" s="2" t="s">
        <v>28</v>
      </c>
      <c r="C7" s="3"/>
    </row>
    <row r="8">
      <c r="A8" s="2" t="s">
        <v>30</v>
      </c>
      <c r="C8" s="3"/>
    </row>
    <row r="9">
      <c r="A9" s="2" t="s">
        <v>32</v>
      </c>
      <c r="C9" s="3"/>
    </row>
    <row r="10">
      <c r="A10" s="2" t="s">
        <v>37</v>
      </c>
      <c r="C10" s="3"/>
    </row>
    <row r="11">
      <c r="A11" s="2" t="s">
        <v>39</v>
      </c>
      <c r="C11" s="3"/>
    </row>
    <row r="12">
      <c r="A12" s="2" t="s">
        <v>42</v>
      </c>
      <c r="C12" s="3"/>
    </row>
    <row r="13">
      <c r="A13" s="2" t="s">
        <v>45</v>
      </c>
      <c r="C13" s="3"/>
    </row>
    <row r="14">
      <c r="A14" s="2" t="s">
        <v>48</v>
      </c>
      <c r="C14" s="3"/>
    </row>
    <row r="15">
      <c r="A15" s="2" t="s">
        <v>52</v>
      </c>
      <c r="C15" s="3"/>
    </row>
    <row r="16">
      <c r="A16" s="2" t="s">
        <v>56</v>
      </c>
      <c r="C16" s="3"/>
    </row>
    <row r="17">
      <c r="A17" s="2" t="s">
        <v>59</v>
      </c>
      <c r="C17" s="3"/>
    </row>
    <row r="18">
      <c r="A18" s="2" t="s">
        <v>60</v>
      </c>
      <c r="C18" s="3"/>
    </row>
    <row r="19">
      <c r="A19" s="2" t="s">
        <v>62</v>
      </c>
      <c r="C19" s="3"/>
    </row>
    <row r="20">
      <c r="A20" s="2" t="s">
        <v>63</v>
      </c>
      <c r="C20" s="3"/>
    </row>
    <row r="21">
      <c r="A21" s="2" t="s">
        <v>65</v>
      </c>
      <c r="C21" s="3"/>
    </row>
    <row r="22">
      <c r="A22" s="2" t="s">
        <v>66</v>
      </c>
      <c r="C22" s="3"/>
    </row>
    <row r="23">
      <c r="A23" s="2" t="s">
        <v>67</v>
      </c>
      <c r="C23" s="3"/>
    </row>
    <row r="24">
      <c r="A24" s="2" t="s">
        <v>69</v>
      </c>
      <c r="C24" s="3"/>
    </row>
    <row r="25">
      <c r="A25" s="2" t="s">
        <v>72</v>
      </c>
      <c r="C25" s="3"/>
    </row>
    <row r="26">
      <c r="A26" s="2" t="s">
        <v>73</v>
      </c>
      <c r="C26" s="3"/>
    </row>
    <row r="27">
      <c r="A27" s="2" t="s">
        <v>76</v>
      </c>
      <c r="C27" s="3"/>
    </row>
    <row r="28">
      <c r="A28" s="2" t="s">
        <v>78</v>
      </c>
      <c r="C28" s="3"/>
    </row>
    <row r="29">
      <c r="A29" s="2" t="s">
        <v>79</v>
      </c>
      <c r="C29" s="3"/>
    </row>
    <row r="30">
      <c r="A30" s="2" t="s">
        <v>81</v>
      </c>
      <c r="C30" s="3"/>
    </row>
    <row r="31">
      <c r="A31" s="2" t="s">
        <v>82</v>
      </c>
      <c r="C31" s="3"/>
    </row>
    <row r="32">
      <c r="A32" s="2" t="s">
        <v>83</v>
      </c>
      <c r="C32" s="3"/>
    </row>
    <row r="33">
      <c r="A33" s="2" t="s">
        <v>85</v>
      </c>
      <c r="C33" s="3"/>
    </row>
    <row r="34">
      <c r="A34" s="2" t="s">
        <v>86</v>
      </c>
      <c r="C34" s="3"/>
    </row>
    <row r="35">
      <c r="A35" s="2" t="s">
        <v>87</v>
      </c>
      <c r="C35" s="3"/>
    </row>
    <row r="36">
      <c r="A36" s="2" t="s">
        <v>89</v>
      </c>
      <c r="C36" s="3"/>
    </row>
    <row r="37">
      <c r="A37" s="2" t="s">
        <v>90</v>
      </c>
      <c r="C37" s="3"/>
    </row>
    <row r="38">
      <c r="A38" s="2" t="s">
        <v>92</v>
      </c>
      <c r="C38" s="3"/>
    </row>
    <row r="39">
      <c r="A39" s="2" t="s">
        <v>93</v>
      </c>
      <c r="C39" s="3"/>
    </row>
    <row r="40">
      <c r="A40" s="2" t="s">
        <v>95</v>
      </c>
      <c r="C40" s="3"/>
    </row>
    <row r="41">
      <c r="A41" s="2" t="s">
        <v>96</v>
      </c>
      <c r="C41" s="3"/>
    </row>
    <row r="42">
      <c r="A42" s="2" t="s">
        <v>98</v>
      </c>
      <c r="B42" s="2" t="s">
        <v>99</v>
      </c>
      <c r="C42" s="2" t="s">
        <v>100</v>
      </c>
    </row>
    <row r="43">
      <c r="A43" s="2" t="s">
        <v>101</v>
      </c>
      <c r="C43" s="3"/>
    </row>
    <row r="44">
      <c r="A44" s="2" t="s">
        <v>103</v>
      </c>
      <c r="C44" s="3"/>
    </row>
    <row r="45">
      <c r="A45" s="2" t="s">
        <v>104</v>
      </c>
      <c r="C45" s="3"/>
    </row>
    <row r="46">
      <c r="A46" s="2" t="s">
        <v>107</v>
      </c>
      <c r="C46" s="3"/>
    </row>
    <row r="47">
      <c r="A47" s="2" t="s">
        <v>108</v>
      </c>
      <c r="B47" s="2" t="s">
        <v>99</v>
      </c>
      <c r="C47" s="2" t="s">
        <v>100</v>
      </c>
    </row>
    <row r="48">
      <c r="A48" s="2" t="s">
        <v>110</v>
      </c>
      <c r="B48" s="2" t="s">
        <v>99</v>
      </c>
      <c r="C48" s="2" t="s">
        <v>100</v>
      </c>
    </row>
    <row r="49">
      <c r="A49" s="2" t="s">
        <v>112</v>
      </c>
      <c r="B49" s="2" t="s">
        <v>99</v>
      </c>
      <c r="C49" s="2" t="s">
        <v>100</v>
      </c>
    </row>
    <row r="50">
      <c r="A50" s="2" t="s">
        <v>114</v>
      </c>
      <c r="C50" s="3"/>
    </row>
    <row r="51">
      <c r="A51" s="2"/>
    </row>
    <row r="52">
      <c r="A52" s="2"/>
    </row>
  </sheetData>
  <conditionalFormatting sqref="A2:A53">
    <cfRule type="expression" dxfId="3" priority="1">
      <formula>F2&lt;&gt;""</formula>
    </cfRule>
  </conditionalFormatting>
  <dataValidations>
    <dataValidation type="list" allowBlank="1" showErrorMessage="1" sqref="C2:C50">
      <formula1>"Rejected,Pending,Approved"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2" max="2" width="31.75"/>
  </cols>
  <sheetData>
    <row r="1">
      <c r="A1" s="1" t="s">
        <v>0</v>
      </c>
      <c r="B1" s="1" t="s">
        <v>1</v>
      </c>
      <c r="C1" s="1"/>
      <c r="E1" s="1"/>
      <c r="F1" s="1"/>
      <c r="G1" s="1"/>
    </row>
    <row r="2">
      <c r="A2" s="1" t="s">
        <v>0</v>
      </c>
      <c r="B2" s="1" t="s">
        <v>1</v>
      </c>
      <c r="C2" s="1"/>
      <c r="E2" s="1"/>
      <c r="F2" s="1"/>
      <c r="G2" s="1"/>
    </row>
    <row r="3">
      <c r="A3" s="1" t="s">
        <v>3</v>
      </c>
      <c r="B3" s="1" t="s">
        <v>4</v>
      </c>
      <c r="C3" s="1"/>
      <c r="E3" s="1"/>
      <c r="F3" s="1"/>
      <c r="G3" s="1"/>
    </row>
    <row r="4">
      <c r="A4" s="1" t="s">
        <v>7</v>
      </c>
      <c r="B4" s="1" t="s">
        <v>8</v>
      </c>
      <c r="C4" s="1"/>
      <c r="E4" s="1"/>
      <c r="F4" s="1"/>
      <c r="G4" s="1"/>
    </row>
    <row r="5">
      <c r="A5" s="1" t="s">
        <v>9</v>
      </c>
      <c r="B5" s="1" t="s">
        <v>10</v>
      </c>
      <c r="C5" s="1"/>
      <c r="E5" s="1"/>
      <c r="F5" s="1"/>
      <c r="G5" s="1"/>
    </row>
    <row r="6">
      <c r="A6" s="1" t="s">
        <v>11</v>
      </c>
      <c r="B6" s="1" t="s">
        <v>12</v>
      </c>
      <c r="C6" s="1"/>
      <c r="E6" s="1"/>
      <c r="F6" s="1"/>
      <c r="G6" s="1"/>
    </row>
    <row r="7">
      <c r="A7" s="1" t="s">
        <v>13</v>
      </c>
      <c r="B7" s="1" t="s">
        <v>14</v>
      </c>
      <c r="C7" s="1"/>
      <c r="E7" s="1"/>
      <c r="F7" s="1"/>
      <c r="G7" s="1"/>
    </row>
    <row r="8">
      <c r="A8" s="1" t="s">
        <v>15</v>
      </c>
      <c r="B8" s="1" t="s">
        <v>16</v>
      </c>
      <c r="C8" s="1"/>
      <c r="E8" s="1"/>
      <c r="F8" s="1"/>
      <c r="G8" s="1"/>
    </row>
    <row r="9">
      <c r="A9" s="1" t="s">
        <v>3</v>
      </c>
      <c r="B9" s="1" t="s">
        <v>18</v>
      </c>
      <c r="C9" s="1"/>
      <c r="E9" s="1"/>
      <c r="F9" s="1"/>
      <c r="G9" s="1"/>
    </row>
    <row r="10">
      <c r="A10" s="1" t="s">
        <v>7</v>
      </c>
      <c r="B10" s="1" t="s">
        <v>21</v>
      </c>
      <c r="C10" s="1"/>
      <c r="E10" s="1"/>
      <c r="F10" s="1"/>
      <c r="G10" s="1"/>
    </row>
    <row r="11">
      <c r="A11" s="1" t="s">
        <v>9</v>
      </c>
      <c r="B11" s="1" t="s">
        <v>26</v>
      </c>
      <c r="C11" s="1"/>
      <c r="E11" s="1"/>
      <c r="F11" s="1"/>
      <c r="G11" s="1"/>
    </row>
    <row r="12">
      <c r="A12" s="1" t="s">
        <v>11</v>
      </c>
      <c r="B12" s="1" t="s">
        <v>29</v>
      </c>
      <c r="C12" s="1"/>
      <c r="E12" s="1"/>
      <c r="F12" s="1"/>
      <c r="G12" s="1"/>
    </row>
    <row r="13">
      <c r="A13" s="1" t="s">
        <v>13</v>
      </c>
      <c r="B13" s="1" t="s">
        <v>33</v>
      </c>
      <c r="C13" s="1"/>
      <c r="E13" s="1"/>
      <c r="F13" s="1"/>
      <c r="G13" s="1"/>
    </row>
    <row r="14">
      <c r="A14" s="1" t="s">
        <v>17</v>
      </c>
      <c r="B14" s="1" t="s">
        <v>36</v>
      </c>
      <c r="C14" s="1"/>
      <c r="E14" s="1"/>
      <c r="F14" s="1"/>
      <c r="G14" s="1"/>
    </row>
    <row r="15">
      <c r="A15" s="1" t="s">
        <v>3</v>
      </c>
      <c r="B15" s="1" t="s">
        <v>40</v>
      </c>
      <c r="C15" s="1"/>
      <c r="E15" s="1"/>
      <c r="F15" s="1"/>
      <c r="G15" s="1"/>
    </row>
    <row r="16">
      <c r="A16" s="1" t="s">
        <v>7</v>
      </c>
      <c r="B16" s="1" t="s">
        <v>21</v>
      </c>
      <c r="C16" s="1"/>
      <c r="E16" s="1"/>
      <c r="F16" s="1"/>
      <c r="G16" s="1"/>
    </row>
    <row r="17">
      <c r="A17" s="1" t="s">
        <v>9</v>
      </c>
      <c r="B17" s="1" t="s">
        <v>49</v>
      </c>
      <c r="C17" s="1"/>
      <c r="E17" s="1"/>
      <c r="F17" s="1"/>
      <c r="G17" s="1"/>
    </row>
    <row r="18">
      <c r="A18" s="1" t="s">
        <v>11</v>
      </c>
      <c r="B18" s="1" t="s">
        <v>54</v>
      </c>
      <c r="C18" s="1"/>
      <c r="E18" s="1"/>
      <c r="F18" s="1"/>
      <c r="G18" s="1"/>
    </row>
    <row r="19">
      <c r="A19" s="1" t="s">
        <v>13</v>
      </c>
      <c r="B19" s="1" t="s">
        <v>57</v>
      </c>
      <c r="C19" s="1"/>
      <c r="E19" s="1"/>
      <c r="F19" s="1"/>
      <c r="G19" s="1"/>
    </row>
    <row r="20">
      <c r="A20" s="1" t="s">
        <v>19</v>
      </c>
      <c r="B20" s="1" t="s">
        <v>61</v>
      </c>
      <c r="C20" s="1"/>
      <c r="E20" s="1"/>
      <c r="F20" s="1"/>
      <c r="G20" s="1"/>
    </row>
    <row r="21">
      <c r="A21" s="1" t="s">
        <v>3</v>
      </c>
      <c r="B21" s="1" t="s">
        <v>64</v>
      </c>
      <c r="C21" s="1"/>
      <c r="E21" s="1"/>
      <c r="F21" s="1"/>
      <c r="G21" s="1"/>
    </row>
    <row r="22">
      <c r="A22" s="1" t="s">
        <v>7</v>
      </c>
      <c r="B22" s="1" t="s">
        <v>21</v>
      </c>
      <c r="C22" s="1"/>
      <c r="E22" s="1"/>
      <c r="F22" s="1"/>
      <c r="G22" s="1"/>
    </row>
    <row r="23">
      <c r="A23" s="1" t="s">
        <v>9</v>
      </c>
      <c r="B23" s="1" t="s">
        <v>68</v>
      </c>
      <c r="C23" s="1"/>
      <c r="E23" s="1"/>
      <c r="F23" s="1"/>
      <c r="G23" s="1"/>
    </row>
    <row r="24">
      <c r="A24" s="1" t="s">
        <v>11</v>
      </c>
      <c r="B24" s="1" t="s">
        <v>71</v>
      </c>
      <c r="C24" s="1"/>
      <c r="E24" s="1"/>
      <c r="F24" s="1"/>
      <c r="G24" s="1"/>
    </row>
    <row r="25">
      <c r="A25" s="1" t="s">
        <v>13</v>
      </c>
      <c r="B25" s="1" t="s">
        <v>74</v>
      </c>
      <c r="C25" s="1"/>
      <c r="E25" s="1"/>
      <c r="F25" s="1"/>
      <c r="G25" s="1"/>
    </row>
    <row r="26">
      <c r="A26" s="1" t="s">
        <v>24</v>
      </c>
      <c r="B26" s="1" t="s">
        <v>77</v>
      </c>
      <c r="C26" s="1"/>
      <c r="E26" s="1"/>
      <c r="F26" s="1"/>
      <c r="G26" s="1"/>
    </row>
    <row r="27">
      <c r="A27" s="1" t="s">
        <v>3</v>
      </c>
      <c r="B27" s="1" t="s">
        <v>80</v>
      </c>
      <c r="C27" s="1"/>
      <c r="E27" s="1"/>
      <c r="F27" s="1"/>
      <c r="G27" s="1"/>
    </row>
    <row r="28">
      <c r="A28" s="1" t="s">
        <v>7</v>
      </c>
      <c r="B28" s="1" t="s">
        <v>21</v>
      </c>
      <c r="C28" s="1"/>
      <c r="E28" s="1"/>
      <c r="F28" s="1"/>
      <c r="G28" s="1"/>
    </row>
    <row r="29">
      <c r="A29" s="1" t="s">
        <v>9</v>
      </c>
      <c r="B29" s="1" t="s">
        <v>84</v>
      </c>
      <c r="C29" s="1"/>
      <c r="E29" s="1"/>
      <c r="F29" s="1"/>
      <c r="G29" s="1"/>
    </row>
    <row r="30">
      <c r="A30" s="1" t="s">
        <v>11</v>
      </c>
      <c r="B30" s="1" t="s">
        <v>88</v>
      </c>
      <c r="C30" s="1"/>
      <c r="E30" s="1"/>
      <c r="F30" s="1"/>
      <c r="G30" s="1"/>
    </row>
    <row r="31">
      <c r="A31" s="1" t="s">
        <v>13</v>
      </c>
      <c r="B31" s="1" t="s">
        <v>91</v>
      </c>
      <c r="C31" s="1"/>
      <c r="E31" s="1"/>
      <c r="F31" s="1"/>
      <c r="G31" s="1"/>
    </row>
    <row r="32">
      <c r="A32" s="1" t="s">
        <v>28</v>
      </c>
      <c r="B32" s="1" t="s">
        <v>94</v>
      </c>
      <c r="C32" s="1"/>
      <c r="E32" s="1"/>
      <c r="F32" s="1"/>
      <c r="G32" s="1"/>
    </row>
    <row r="33">
      <c r="A33" s="1" t="s">
        <v>3</v>
      </c>
      <c r="B33" s="1" t="s">
        <v>97</v>
      </c>
      <c r="C33" s="1"/>
      <c r="E33" s="1"/>
      <c r="F33" s="1"/>
      <c r="G33" s="1"/>
    </row>
    <row r="34">
      <c r="A34" s="1" t="s">
        <v>7</v>
      </c>
      <c r="B34" s="1" t="s">
        <v>21</v>
      </c>
      <c r="C34" s="1"/>
      <c r="E34" s="1"/>
      <c r="F34" s="1"/>
      <c r="G34" s="1"/>
    </row>
    <row r="35">
      <c r="A35" s="1" t="s">
        <v>9</v>
      </c>
      <c r="B35" s="1" t="s">
        <v>102</v>
      </c>
      <c r="C35" s="1"/>
      <c r="E35" s="1"/>
      <c r="F35" s="1"/>
      <c r="G35" s="1"/>
    </row>
    <row r="36">
      <c r="A36" s="1" t="s">
        <v>11</v>
      </c>
      <c r="B36" s="1" t="s">
        <v>105</v>
      </c>
      <c r="C36" s="1"/>
      <c r="E36" s="1"/>
      <c r="F36" s="1"/>
      <c r="G36" s="1"/>
    </row>
    <row r="37">
      <c r="A37" s="1" t="s">
        <v>13</v>
      </c>
      <c r="B37" s="1" t="s">
        <v>106</v>
      </c>
      <c r="C37" s="1"/>
      <c r="E37" s="1"/>
      <c r="F37" s="1"/>
      <c r="G37" s="1"/>
    </row>
    <row r="38">
      <c r="A38" s="1" t="s">
        <v>30</v>
      </c>
      <c r="B38" s="1" t="s">
        <v>109</v>
      </c>
      <c r="C38" s="1"/>
      <c r="E38" s="1"/>
      <c r="F38" s="1"/>
      <c r="G38" s="1"/>
    </row>
    <row r="39">
      <c r="A39" s="1" t="s">
        <v>3</v>
      </c>
      <c r="B39" s="1" t="s">
        <v>111</v>
      </c>
      <c r="C39" s="1"/>
      <c r="E39" s="1"/>
      <c r="F39" s="1"/>
      <c r="G39" s="1"/>
    </row>
    <row r="40">
      <c r="A40" s="1" t="s">
        <v>7</v>
      </c>
      <c r="B40" s="1" t="s">
        <v>113</v>
      </c>
      <c r="C40" s="1"/>
      <c r="E40" s="1"/>
      <c r="F40" s="1"/>
      <c r="G40" s="1"/>
    </row>
    <row r="41">
      <c r="A41" s="1" t="s">
        <v>9</v>
      </c>
      <c r="B41" s="1" t="s">
        <v>115</v>
      </c>
      <c r="C41" s="1"/>
      <c r="E41" s="1"/>
      <c r="F41" s="1"/>
      <c r="G41" s="1"/>
    </row>
    <row r="42">
      <c r="A42" s="1" t="s">
        <v>11</v>
      </c>
      <c r="B42" s="1" t="s">
        <v>116</v>
      </c>
      <c r="C42" s="1"/>
      <c r="E42" s="1"/>
      <c r="F42" s="1"/>
      <c r="G42" s="1"/>
    </row>
    <row r="43">
      <c r="A43" s="1" t="s">
        <v>13</v>
      </c>
      <c r="B43" s="1" t="s">
        <v>117</v>
      </c>
      <c r="C43" s="1"/>
      <c r="E43" s="1"/>
      <c r="F43" s="1"/>
      <c r="G43" s="1"/>
    </row>
    <row r="44">
      <c r="A44" s="1" t="s">
        <v>32</v>
      </c>
      <c r="B44" s="1" t="s">
        <v>118</v>
      </c>
      <c r="C44" s="1"/>
      <c r="E44" s="1"/>
      <c r="F44" s="1"/>
      <c r="G44" s="1"/>
    </row>
    <row r="45">
      <c r="A45" s="1" t="s">
        <v>3</v>
      </c>
      <c r="B45" s="1" t="s">
        <v>119</v>
      </c>
      <c r="C45" s="1"/>
      <c r="E45" s="1"/>
      <c r="F45" s="1"/>
      <c r="G45" s="1"/>
    </row>
    <row r="46">
      <c r="A46" s="1" t="s">
        <v>7</v>
      </c>
      <c r="B46" s="1" t="s">
        <v>21</v>
      </c>
      <c r="C46" s="1"/>
      <c r="E46" s="1"/>
      <c r="F46" s="1"/>
      <c r="G46" s="1"/>
    </row>
    <row r="47">
      <c r="A47" s="1" t="s">
        <v>9</v>
      </c>
      <c r="B47" s="1" t="s">
        <v>121</v>
      </c>
      <c r="C47" s="1"/>
      <c r="E47" s="1"/>
      <c r="F47" s="1"/>
      <c r="G47" s="1"/>
    </row>
    <row r="48">
      <c r="A48" s="1" t="s">
        <v>11</v>
      </c>
      <c r="B48" s="1" t="s">
        <v>122</v>
      </c>
      <c r="C48" s="1"/>
      <c r="E48" s="1"/>
      <c r="F48" s="1"/>
      <c r="G48" s="1"/>
    </row>
    <row r="49">
      <c r="A49" s="1" t="s">
        <v>13</v>
      </c>
      <c r="B49" s="1" t="s">
        <v>123</v>
      </c>
      <c r="C49" s="1"/>
      <c r="E49" s="1"/>
      <c r="F49" s="1"/>
      <c r="G49" s="1"/>
    </row>
    <row r="50">
      <c r="A50" s="1" t="s">
        <v>37</v>
      </c>
      <c r="B50" s="1" t="s">
        <v>125</v>
      </c>
      <c r="C50" s="1"/>
      <c r="E50" s="1"/>
      <c r="F50" s="1"/>
      <c r="G50" s="1"/>
    </row>
    <row r="51">
      <c r="A51" s="1" t="s">
        <v>3</v>
      </c>
      <c r="B51" s="1" t="s">
        <v>126</v>
      </c>
      <c r="C51" s="1"/>
      <c r="E51" s="1"/>
      <c r="F51" s="1"/>
      <c r="G51" s="1"/>
    </row>
    <row r="52">
      <c r="A52" s="1" t="s">
        <v>7</v>
      </c>
      <c r="B52" s="1" t="s">
        <v>21</v>
      </c>
      <c r="C52" s="1"/>
      <c r="E52" s="1"/>
      <c r="F52" s="1"/>
      <c r="G52" s="1"/>
    </row>
    <row r="53">
      <c r="A53" s="1" t="s">
        <v>9</v>
      </c>
      <c r="B53" s="1" t="s">
        <v>10</v>
      </c>
      <c r="C53" s="1"/>
      <c r="E53" s="1"/>
      <c r="F53" s="1"/>
      <c r="G53" s="1"/>
    </row>
    <row r="54">
      <c r="A54" s="1" t="s">
        <v>11</v>
      </c>
      <c r="B54" s="1" t="s">
        <v>12</v>
      </c>
      <c r="C54" s="1"/>
      <c r="E54" s="1"/>
      <c r="F54" s="1"/>
      <c r="G54" s="1"/>
    </row>
    <row r="55">
      <c r="A55" s="1" t="s">
        <v>13</v>
      </c>
      <c r="B55" s="1" t="s">
        <v>130</v>
      </c>
      <c r="C55" s="1"/>
      <c r="E55" s="1"/>
      <c r="F55" s="1"/>
      <c r="G55" s="1"/>
    </row>
    <row r="56">
      <c r="A56" s="1" t="s">
        <v>39</v>
      </c>
      <c r="B56" s="1" t="s">
        <v>131</v>
      </c>
      <c r="C56" s="1"/>
      <c r="E56" s="1"/>
      <c r="F56" s="1"/>
      <c r="G56" s="1"/>
    </row>
    <row r="57">
      <c r="A57" s="1" t="s">
        <v>3</v>
      </c>
      <c r="B57" s="1" t="s">
        <v>132</v>
      </c>
      <c r="C57" s="1"/>
      <c r="E57" s="1"/>
      <c r="F57" s="1"/>
      <c r="G57" s="1"/>
    </row>
    <row r="58">
      <c r="A58" s="1" t="s">
        <v>7</v>
      </c>
      <c r="B58" s="1" t="s">
        <v>21</v>
      </c>
      <c r="C58" s="1"/>
      <c r="E58" s="1"/>
      <c r="F58" s="1"/>
      <c r="G58" s="1"/>
    </row>
    <row r="59">
      <c r="A59" s="1" t="s">
        <v>9</v>
      </c>
      <c r="B59" s="1" t="s">
        <v>134</v>
      </c>
      <c r="C59" s="1"/>
      <c r="E59" s="1"/>
      <c r="F59" s="1"/>
      <c r="G59" s="1"/>
    </row>
    <row r="60">
      <c r="A60" s="1" t="s">
        <v>11</v>
      </c>
      <c r="B60" s="1" t="s">
        <v>135</v>
      </c>
      <c r="C60" s="1"/>
      <c r="E60" s="1"/>
      <c r="F60" s="1"/>
      <c r="G60" s="1"/>
    </row>
    <row r="61">
      <c r="A61" s="1" t="s">
        <v>13</v>
      </c>
      <c r="B61" s="1" t="s">
        <v>137</v>
      </c>
      <c r="C61" s="1"/>
      <c r="E61" s="1"/>
      <c r="F61" s="1"/>
      <c r="G61" s="1"/>
    </row>
    <row r="62">
      <c r="A62" s="1" t="s">
        <v>42</v>
      </c>
      <c r="B62" s="1" t="s">
        <v>138</v>
      </c>
      <c r="C62" s="1"/>
      <c r="E62" s="1"/>
      <c r="F62" s="1"/>
      <c r="G62" s="1"/>
    </row>
    <row r="63">
      <c r="A63" s="1" t="s">
        <v>3</v>
      </c>
      <c r="B63" s="1" t="s">
        <v>140</v>
      </c>
      <c r="C63" s="1"/>
      <c r="E63" s="1"/>
      <c r="F63" s="1"/>
      <c r="G63" s="1"/>
    </row>
    <row r="64">
      <c r="A64" s="1" t="s">
        <v>7</v>
      </c>
      <c r="B64" s="1" t="s">
        <v>21</v>
      </c>
      <c r="C64" s="1"/>
      <c r="E64" s="1"/>
      <c r="F64" s="1"/>
      <c r="G64" s="1"/>
    </row>
    <row r="65">
      <c r="A65" s="1" t="s">
        <v>9</v>
      </c>
      <c r="B65" s="1" t="s">
        <v>145</v>
      </c>
      <c r="C65" s="1"/>
      <c r="E65" s="1"/>
      <c r="F65" s="1"/>
      <c r="G65" s="1"/>
    </row>
    <row r="66">
      <c r="A66" s="1" t="s">
        <v>11</v>
      </c>
      <c r="B66" s="1" t="s">
        <v>149</v>
      </c>
      <c r="C66" s="1"/>
      <c r="E66" s="1"/>
      <c r="F66" s="1"/>
      <c r="G66" s="1"/>
    </row>
    <row r="67">
      <c r="A67" s="1" t="s">
        <v>13</v>
      </c>
      <c r="B67" s="1" t="s">
        <v>152</v>
      </c>
      <c r="C67" s="1"/>
      <c r="E67" s="1"/>
      <c r="F67" s="1"/>
      <c r="G67" s="1"/>
    </row>
    <row r="68">
      <c r="A68" s="1" t="s">
        <v>154</v>
      </c>
      <c r="B68" s="1" t="s">
        <v>155</v>
      </c>
      <c r="C68" s="1"/>
      <c r="E68" s="1"/>
      <c r="F68" s="1"/>
      <c r="G68" s="1"/>
    </row>
    <row r="69">
      <c r="A69" s="1" t="s">
        <v>156</v>
      </c>
      <c r="B69" s="1" t="s">
        <v>157</v>
      </c>
      <c r="C69" s="1"/>
      <c r="E69" s="1"/>
      <c r="F69" s="1"/>
      <c r="G69" s="1"/>
    </row>
    <row r="70">
      <c r="A70" s="1" t="s">
        <v>45</v>
      </c>
      <c r="B70" s="1" t="s">
        <v>159</v>
      </c>
      <c r="C70" s="1"/>
      <c r="E70" s="1"/>
      <c r="F70" s="1"/>
      <c r="G70" s="1"/>
    </row>
    <row r="71">
      <c r="A71" s="1" t="s">
        <v>3</v>
      </c>
      <c r="B71" s="1" t="s">
        <v>161</v>
      </c>
      <c r="C71" s="1"/>
      <c r="E71" s="1"/>
      <c r="F71" s="1"/>
      <c r="G71" s="1"/>
    </row>
    <row r="72">
      <c r="A72" s="1" t="s">
        <v>7</v>
      </c>
      <c r="B72" s="1" t="s">
        <v>21</v>
      </c>
      <c r="C72" s="1"/>
      <c r="E72" s="1"/>
      <c r="F72" s="1"/>
      <c r="G72" s="1"/>
    </row>
    <row r="73">
      <c r="A73" s="1" t="s">
        <v>9</v>
      </c>
      <c r="B73" s="1" t="s">
        <v>163</v>
      </c>
      <c r="C73" s="1"/>
      <c r="E73" s="1"/>
      <c r="F73" s="1"/>
      <c r="G73" s="1"/>
    </row>
    <row r="74">
      <c r="A74" s="1" t="s">
        <v>11</v>
      </c>
      <c r="B74" s="1" t="s">
        <v>165</v>
      </c>
      <c r="C74" s="1"/>
      <c r="E74" s="1"/>
      <c r="F74" s="1"/>
      <c r="G74" s="1"/>
    </row>
    <row r="75">
      <c r="A75" s="1" t="s">
        <v>13</v>
      </c>
      <c r="B75" s="1" t="s">
        <v>166</v>
      </c>
      <c r="C75" s="1"/>
      <c r="E75" s="1"/>
      <c r="F75" s="1"/>
      <c r="G75" s="1"/>
    </row>
    <row r="76">
      <c r="A76" s="1" t="s">
        <v>48</v>
      </c>
      <c r="B76" s="1" t="s">
        <v>168</v>
      </c>
      <c r="C76" s="1"/>
      <c r="E76" s="1"/>
      <c r="F76" s="1"/>
      <c r="G76" s="1"/>
    </row>
    <row r="77">
      <c r="A77" s="1" t="s">
        <v>3</v>
      </c>
      <c r="B77" s="1" t="s">
        <v>170</v>
      </c>
      <c r="C77" s="1"/>
      <c r="E77" s="1"/>
      <c r="F77" s="1"/>
      <c r="G77" s="1"/>
    </row>
    <row r="78">
      <c r="A78" s="1" t="s">
        <v>7</v>
      </c>
      <c r="B78" s="1" t="s">
        <v>21</v>
      </c>
      <c r="C78" s="1"/>
      <c r="E78" s="1"/>
      <c r="F78" s="1"/>
      <c r="G78" s="1"/>
    </row>
    <row r="79">
      <c r="A79" s="1" t="s">
        <v>9</v>
      </c>
      <c r="B79" s="1" t="s">
        <v>172</v>
      </c>
      <c r="C79" s="1"/>
      <c r="E79" s="1"/>
      <c r="F79" s="1"/>
      <c r="G79" s="1"/>
    </row>
    <row r="80">
      <c r="A80" s="1" t="s">
        <v>11</v>
      </c>
      <c r="B80" s="1" t="s">
        <v>173</v>
      </c>
      <c r="C80" s="1"/>
      <c r="E80" s="1"/>
      <c r="F80" s="1"/>
      <c r="G80" s="1"/>
    </row>
    <row r="81">
      <c r="A81" s="1" t="s">
        <v>13</v>
      </c>
      <c r="B81" s="1" t="s">
        <v>175</v>
      </c>
      <c r="C81" s="1"/>
      <c r="E81" s="1"/>
      <c r="F81" s="1"/>
      <c r="G81" s="1"/>
    </row>
    <row r="82">
      <c r="A82" s="1" t="s">
        <v>52</v>
      </c>
      <c r="B82" s="1" t="s">
        <v>181</v>
      </c>
      <c r="C82" s="1"/>
      <c r="E82" s="1"/>
      <c r="F82" s="1"/>
      <c r="G82" s="1"/>
    </row>
    <row r="83">
      <c r="A83" s="1" t="s">
        <v>3</v>
      </c>
      <c r="B83" s="1" t="s">
        <v>183</v>
      </c>
      <c r="C83" s="1"/>
      <c r="E83" s="1"/>
      <c r="F83" s="1"/>
      <c r="G83" s="1"/>
    </row>
    <row r="84">
      <c r="A84" s="1" t="s">
        <v>7</v>
      </c>
      <c r="B84" s="1" t="s">
        <v>21</v>
      </c>
      <c r="C84" s="1"/>
      <c r="E84" s="1"/>
      <c r="F84" s="1"/>
      <c r="G84" s="1"/>
    </row>
    <row r="85">
      <c r="A85" s="1" t="s">
        <v>9</v>
      </c>
      <c r="B85" s="1" t="s">
        <v>186</v>
      </c>
      <c r="C85" s="1"/>
      <c r="E85" s="1"/>
      <c r="F85" s="1"/>
      <c r="G85" s="1"/>
    </row>
    <row r="86">
      <c r="A86" s="1" t="s">
        <v>11</v>
      </c>
      <c r="B86" s="1" t="s">
        <v>188</v>
      </c>
      <c r="C86" s="1"/>
      <c r="E86" s="1"/>
      <c r="F86" s="1"/>
      <c r="G86" s="1"/>
    </row>
    <row r="87">
      <c r="A87" s="1" t="s">
        <v>13</v>
      </c>
      <c r="B87" s="1" t="s">
        <v>189</v>
      </c>
      <c r="C87" s="1"/>
      <c r="E87" s="1"/>
      <c r="F87" s="1"/>
      <c r="G87" s="1"/>
    </row>
    <row r="88">
      <c r="A88" s="1" t="s">
        <v>191</v>
      </c>
      <c r="B88" s="1" t="s">
        <v>192</v>
      </c>
      <c r="C88" s="1"/>
      <c r="E88" s="1"/>
      <c r="F88" s="1"/>
      <c r="G88" s="1"/>
    </row>
    <row r="89">
      <c r="A89" s="1" t="s">
        <v>3</v>
      </c>
      <c r="B89" s="1" t="s">
        <v>195</v>
      </c>
      <c r="C89" s="1"/>
      <c r="E89" s="1"/>
      <c r="F89" s="1"/>
      <c r="G89" s="1"/>
    </row>
    <row r="90">
      <c r="A90" s="1" t="s">
        <v>7</v>
      </c>
      <c r="B90" s="1" t="s">
        <v>197</v>
      </c>
      <c r="C90" s="1"/>
      <c r="E90" s="1"/>
      <c r="F90" s="1"/>
      <c r="G90" s="1"/>
    </row>
    <row r="91">
      <c r="A91" s="1" t="s">
        <v>156</v>
      </c>
      <c r="B91" s="1" t="s">
        <v>199</v>
      </c>
      <c r="C91" s="1"/>
      <c r="E91" s="1"/>
      <c r="F91" s="1"/>
      <c r="G91" s="1"/>
    </row>
    <row r="92">
      <c r="A92" s="1" t="s">
        <v>56</v>
      </c>
      <c r="B92" s="1" t="s">
        <v>200</v>
      </c>
      <c r="C92" s="1"/>
      <c r="E92" s="1"/>
      <c r="F92" s="1"/>
      <c r="G92" s="1"/>
    </row>
    <row r="93">
      <c r="A93" s="1" t="s">
        <v>3</v>
      </c>
      <c r="B93" s="1" t="s">
        <v>202</v>
      </c>
      <c r="C93" s="1"/>
      <c r="E93" s="1"/>
      <c r="F93" s="1"/>
      <c r="G93" s="1"/>
    </row>
    <row r="94">
      <c r="A94" s="1" t="s">
        <v>7</v>
      </c>
      <c r="B94" s="1" t="s">
        <v>21</v>
      </c>
      <c r="C94" s="1"/>
      <c r="E94" s="1"/>
      <c r="F94" s="1"/>
      <c r="G94" s="1"/>
    </row>
    <row r="95">
      <c r="A95" s="1" t="s">
        <v>9</v>
      </c>
      <c r="B95" s="1" t="s">
        <v>204</v>
      </c>
      <c r="C95" s="1"/>
      <c r="E95" s="1"/>
      <c r="F95" s="1"/>
      <c r="G95" s="1"/>
    </row>
    <row r="96">
      <c r="A96" s="1" t="s">
        <v>11</v>
      </c>
      <c r="B96" s="1" t="s">
        <v>206</v>
      </c>
      <c r="C96" s="1"/>
      <c r="E96" s="1"/>
      <c r="F96" s="1"/>
      <c r="G96" s="1"/>
    </row>
    <row r="97">
      <c r="A97" s="1" t="s">
        <v>13</v>
      </c>
      <c r="B97" s="1" t="s">
        <v>208</v>
      </c>
      <c r="C97" s="1"/>
      <c r="E97" s="1"/>
      <c r="F97" s="1"/>
      <c r="G97" s="1"/>
    </row>
    <row r="98">
      <c r="A98" s="1" t="s">
        <v>209</v>
      </c>
      <c r="B98" s="1" t="s">
        <v>210</v>
      </c>
      <c r="C98" s="1"/>
      <c r="E98" s="1"/>
      <c r="F98" s="1"/>
      <c r="G98" s="1"/>
    </row>
    <row r="99">
      <c r="A99" s="1" t="s">
        <v>156</v>
      </c>
      <c r="B99" s="1" t="s">
        <v>212</v>
      </c>
      <c r="C99" s="1"/>
      <c r="E99" s="1"/>
      <c r="F99" s="1"/>
      <c r="G99" s="1"/>
    </row>
    <row r="100">
      <c r="A100" s="1" t="s">
        <v>59</v>
      </c>
      <c r="B100" s="1" t="s">
        <v>214</v>
      </c>
      <c r="C100" s="1"/>
      <c r="E100" s="1"/>
      <c r="F100" s="1"/>
      <c r="G100" s="1"/>
    </row>
    <row r="101">
      <c r="A101" s="1" t="s">
        <v>3</v>
      </c>
      <c r="B101" s="1" t="s">
        <v>215</v>
      </c>
      <c r="C101" s="1"/>
      <c r="E101" s="1"/>
      <c r="F101" s="1"/>
      <c r="G101" s="1"/>
    </row>
    <row r="102">
      <c r="A102" s="1" t="s">
        <v>7</v>
      </c>
      <c r="B102" s="1" t="s">
        <v>21</v>
      </c>
      <c r="C102" s="1"/>
      <c r="E102" s="1"/>
      <c r="F102" s="1"/>
      <c r="G102" s="1"/>
    </row>
    <row r="103">
      <c r="A103" s="1" t="s">
        <v>9</v>
      </c>
      <c r="B103" s="1" t="s">
        <v>220</v>
      </c>
      <c r="C103" s="1"/>
      <c r="E103" s="1"/>
      <c r="F103" s="1"/>
      <c r="G103" s="1"/>
    </row>
    <row r="104">
      <c r="A104" s="1" t="s">
        <v>11</v>
      </c>
      <c r="B104" s="1" t="s">
        <v>221</v>
      </c>
      <c r="C104" s="1"/>
      <c r="E104" s="1"/>
      <c r="F104" s="1"/>
      <c r="G104" s="1"/>
    </row>
    <row r="105">
      <c r="A105" s="1" t="s">
        <v>13</v>
      </c>
      <c r="B105" s="1" t="s">
        <v>222</v>
      </c>
      <c r="C105" s="1"/>
      <c r="E105" s="1"/>
      <c r="F105" s="1"/>
      <c r="G105" s="1"/>
    </row>
    <row r="106">
      <c r="A106" s="1" t="s">
        <v>60</v>
      </c>
      <c r="B106" s="1" t="s">
        <v>223</v>
      </c>
      <c r="C106" s="1"/>
      <c r="E106" s="1"/>
      <c r="F106" s="1"/>
      <c r="G106" s="1"/>
    </row>
    <row r="107">
      <c r="A107" s="1" t="s">
        <v>3</v>
      </c>
      <c r="B107" s="1" t="s">
        <v>224</v>
      </c>
      <c r="C107" s="1"/>
      <c r="E107" s="1"/>
      <c r="F107" s="1"/>
      <c r="G107" s="1"/>
    </row>
    <row r="108">
      <c r="A108" s="1" t="s">
        <v>7</v>
      </c>
      <c r="B108" s="1" t="s">
        <v>21</v>
      </c>
      <c r="C108" s="1"/>
      <c r="E108" s="1"/>
      <c r="F108" s="1"/>
      <c r="G108" s="1"/>
    </row>
    <row r="109">
      <c r="A109" s="1" t="s">
        <v>9</v>
      </c>
      <c r="B109" s="1" t="s">
        <v>225</v>
      </c>
      <c r="C109" s="1"/>
      <c r="E109" s="1"/>
      <c r="F109" s="1"/>
      <c r="G109" s="1"/>
    </row>
    <row r="110">
      <c r="A110" s="1" t="s">
        <v>11</v>
      </c>
      <c r="B110" s="1" t="s">
        <v>226</v>
      </c>
      <c r="C110" s="1"/>
      <c r="E110" s="1"/>
      <c r="F110" s="1"/>
      <c r="G110" s="1"/>
    </row>
    <row r="111">
      <c r="A111" s="1" t="s">
        <v>13</v>
      </c>
      <c r="B111" s="1" t="s">
        <v>227</v>
      </c>
      <c r="C111" s="1"/>
      <c r="E111" s="1"/>
      <c r="F111" s="1"/>
      <c r="G111" s="1"/>
    </row>
    <row r="112">
      <c r="A112" s="1" t="s">
        <v>62</v>
      </c>
      <c r="B112" s="1" t="s">
        <v>229</v>
      </c>
      <c r="C112" s="1"/>
      <c r="E112" s="1"/>
      <c r="F112" s="1"/>
      <c r="G112" s="1"/>
    </row>
    <row r="113">
      <c r="A113" s="1" t="s">
        <v>3</v>
      </c>
      <c r="B113" s="1" t="s">
        <v>230</v>
      </c>
      <c r="C113" s="1"/>
      <c r="E113" s="1"/>
      <c r="F113" s="1"/>
      <c r="G113" s="1"/>
    </row>
    <row r="114">
      <c r="A114" s="1" t="s">
        <v>7</v>
      </c>
      <c r="B114" s="1" t="s">
        <v>21</v>
      </c>
      <c r="C114" s="1"/>
      <c r="E114" s="1"/>
      <c r="F114" s="1"/>
      <c r="G114" s="1"/>
    </row>
    <row r="115">
      <c r="A115" s="1" t="s">
        <v>9</v>
      </c>
      <c r="B115" s="1" t="s">
        <v>232</v>
      </c>
      <c r="C115" s="1"/>
      <c r="E115" s="1"/>
      <c r="F115" s="1"/>
      <c r="G115" s="1"/>
    </row>
    <row r="116">
      <c r="A116" s="1" t="s">
        <v>11</v>
      </c>
      <c r="B116" s="1" t="s">
        <v>234</v>
      </c>
      <c r="C116" s="1"/>
      <c r="E116" s="1"/>
      <c r="F116" s="1"/>
      <c r="G116" s="1"/>
    </row>
    <row r="117">
      <c r="A117" s="1" t="s">
        <v>13</v>
      </c>
      <c r="B117" s="1" t="s">
        <v>236</v>
      </c>
      <c r="C117" s="1"/>
      <c r="E117" s="1"/>
      <c r="F117" s="1"/>
      <c r="G117" s="1"/>
    </row>
    <row r="118">
      <c r="A118" s="1" t="s">
        <v>63</v>
      </c>
      <c r="B118" s="1" t="s">
        <v>237</v>
      </c>
      <c r="C118" s="1"/>
      <c r="E118" s="1"/>
      <c r="F118" s="1"/>
      <c r="G118" s="1"/>
    </row>
    <row r="119">
      <c r="A119" s="1" t="s">
        <v>3</v>
      </c>
      <c r="B119" s="1" t="s">
        <v>240</v>
      </c>
      <c r="C119" s="1"/>
      <c r="E119" s="1"/>
      <c r="F119" s="1"/>
      <c r="G119" s="1"/>
    </row>
    <row r="120">
      <c r="A120" s="1" t="s">
        <v>7</v>
      </c>
      <c r="B120" s="1" t="s">
        <v>21</v>
      </c>
      <c r="C120" s="1"/>
      <c r="E120" s="1"/>
      <c r="F120" s="1"/>
      <c r="G120" s="1"/>
    </row>
    <row r="121">
      <c r="A121" s="1" t="s">
        <v>9</v>
      </c>
      <c r="B121" s="1" t="s">
        <v>246</v>
      </c>
      <c r="C121" s="1"/>
      <c r="E121" s="1"/>
      <c r="F121" s="1"/>
      <c r="G121" s="1"/>
    </row>
    <row r="122">
      <c r="A122" s="1" t="s">
        <v>11</v>
      </c>
      <c r="B122" s="1" t="s">
        <v>249</v>
      </c>
      <c r="C122" s="1"/>
      <c r="E122" s="1"/>
      <c r="F122" s="1"/>
      <c r="G122" s="1"/>
    </row>
    <row r="123">
      <c r="A123" s="1" t="s">
        <v>13</v>
      </c>
      <c r="B123" s="1" t="s">
        <v>252</v>
      </c>
      <c r="C123" s="1"/>
      <c r="E123" s="1"/>
      <c r="F123" s="1"/>
      <c r="G123" s="1"/>
    </row>
    <row r="124">
      <c r="A124" s="1" t="s">
        <v>65</v>
      </c>
      <c r="B124" s="1" t="s">
        <v>255</v>
      </c>
      <c r="C124" s="1"/>
      <c r="E124" s="1"/>
      <c r="F124" s="1"/>
      <c r="G124" s="1"/>
    </row>
    <row r="125">
      <c r="A125" s="1" t="s">
        <v>3</v>
      </c>
      <c r="B125" s="1" t="s">
        <v>258</v>
      </c>
      <c r="C125" s="1"/>
      <c r="E125" s="1"/>
      <c r="F125" s="1"/>
      <c r="G125" s="1"/>
    </row>
    <row r="126">
      <c r="A126" s="1" t="s">
        <v>7</v>
      </c>
      <c r="B126" s="1" t="s">
        <v>21</v>
      </c>
      <c r="C126" s="1"/>
      <c r="E126" s="1"/>
      <c r="F126" s="1"/>
      <c r="G126" s="1"/>
    </row>
    <row r="127">
      <c r="A127" s="1" t="s">
        <v>9</v>
      </c>
      <c r="B127" s="1" t="s">
        <v>259</v>
      </c>
      <c r="C127" s="1"/>
      <c r="E127" s="1"/>
      <c r="F127" s="1"/>
      <c r="G127" s="1"/>
    </row>
    <row r="128">
      <c r="A128" s="1" t="s">
        <v>11</v>
      </c>
      <c r="B128" s="1" t="s">
        <v>262</v>
      </c>
      <c r="C128" s="1"/>
      <c r="E128" s="1"/>
      <c r="F128" s="1"/>
      <c r="G128" s="1"/>
    </row>
    <row r="129">
      <c r="A129" s="1" t="s">
        <v>13</v>
      </c>
      <c r="B129" s="1" t="s">
        <v>264</v>
      </c>
      <c r="C129" s="1"/>
      <c r="E129" s="1"/>
      <c r="F129" s="1"/>
      <c r="G129" s="1"/>
    </row>
    <row r="130">
      <c r="A130" s="1" t="s">
        <v>66</v>
      </c>
      <c r="B130" s="1" t="s">
        <v>265</v>
      </c>
      <c r="C130" s="1"/>
      <c r="E130" s="1"/>
      <c r="F130" s="1"/>
      <c r="G130" s="1"/>
    </row>
    <row r="131">
      <c r="A131" s="1" t="s">
        <v>3</v>
      </c>
      <c r="B131" s="1" t="s">
        <v>266</v>
      </c>
      <c r="C131" s="1"/>
      <c r="E131" s="1"/>
      <c r="F131" s="1"/>
      <c r="G131" s="1"/>
    </row>
    <row r="132">
      <c r="A132" s="1" t="s">
        <v>7</v>
      </c>
      <c r="B132" s="1" t="s">
        <v>21</v>
      </c>
      <c r="C132" s="1"/>
      <c r="E132" s="1"/>
      <c r="F132" s="1"/>
      <c r="G132" s="1"/>
    </row>
    <row r="133">
      <c r="A133" s="1" t="s">
        <v>9</v>
      </c>
      <c r="B133" s="1" t="s">
        <v>270</v>
      </c>
      <c r="C133" s="1"/>
      <c r="E133" s="1"/>
      <c r="F133" s="1"/>
      <c r="G133" s="1"/>
    </row>
    <row r="134">
      <c r="A134" s="1" t="s">
        <v>11</v>
      </c>
      <c r="B134" s="1" t="s">
        <v>271</v>
      </c>
      <c r="C134" s="1"/>
      <c r="E134" s="1"/>
      <c r="F134" s="1"/>
      <c r="G134" s="1"/>
    </row>
    <row r="135">
      <c r="A135" s="1" t="s">
        <v>13</v>
      </c>
      <c r="B135" s="1" t="s">
        <v>272</v>
      </c>
      <c r="C135" s="1"/>
      <c r="E135" s="1"/>
      <c r="F135" s="1"/>
      <c r="G135" s="1"/>
    </row>
    <row r="136">
      <c r="A136" s="1" t="s">
        <v>273</v>
      </c>
      <c r="B136" s="1" t="s">
        <v>274</v>
      </c>
      <c r="C136" s="1"/>
      <c r="E136" s="1"/>
      <c r="F136" s="1"/>
      <c r="G136" s="1"/>
    </row>
    <row r="137">
      <c r="A137" s="1" t="s">
        <v>3</v>
      </c>
      <c r="B137" s="1" t="s">
        <v>275</v>
      </c>
      <c r="C137" s="1"/>
      <c r="E137" s="1"/>
      <c r="F137" s="1"/>
      <c r="G137" s="1"/>
    </row>
    <row r="138">
      <c r="A138" s="1" t="s">
        <v>7</v>
      </c>
      <c r="B138" s="1" t="s">
        <v>21</v>
      </c>
      <c r="C138" s="1"/>
      <c r="E138" s="1"/>
      <c r="F138" s="1"/>
      <c r="G138" s="1"/>
    </row>
    <row r="139">
      <c r="A139" s="1" t="s">
        <v>9</v>
      </c>
      <c r="B139" s="1" t="s">
        <v>279</v>
      </c>
      <c r="C139" s="1"/>
      <c r="E139" s="1"/>
      <c r="F139" s="1"/>
      <c r="G139" s="1"/>
    </row>
    <row r="140">
      <c r="A140" s="1" t="s">
        <v>11</v>
      </c>
      <c r="B140" s="1" t="s">
        <v>280</v>
      </c>
      <c r="C140" s="1"/>
      <c r="E140" s="1"/>
      <c r="F140" s="1"/>
      <c r="G140" s="1"/>
    </row>
    <row r="141">
      <c r="A141" s="1" t="s">
        <v>156</v>
      </c>
      <c r="B141" s="1" t="s">
        <v>282</v>
      </c>
      <c r="C141" s="1"/>
      <c r="E141" s="1"/>
      <c r="F141" s="1"/>
      <c r="G141" s="1"/>
    </row>
    <row r="142">
      <c r="A142" s="1" t="s">
        <v>67</v>
      </c>
      <c r="B142" s="1" t="s">
        <v>283</v>
      </c>
      <c r="C142" s="1"/>
      <c r="E142" s="1"/>
      <c r="F142" s="1"/>
      <c r="G142" s="1"/>
    </row>
    <row r="143">
      <c r="A143" s="1" t="s">
        <v>3</v>
      </c>
      <c r="B143" s="1" t="s">
        <v>284</v>
      </c>
      <c r="C143" s="1"/>
      <c r="E143" s="1"/>
      <c r="F143" s="1"/>
      <c r="G143" s="1"/>
    </row>
    <row r="144">
      <c r="A144" s="1" t="s">
        <v>7</v>
      </c>
      <c r="B144" s="1" t="s">
        <v>21</v>
      </c>
      <c r="C144" s="1"/>
      <c r="E144" s="1"/>
      <c r="F144" s="1"/>
      <c r="G144" s="1"/>
    </row>
    <row r="145">
      <c r="A145" s="1" t="s">
        <v>9</v>
      </c>
      <c r="B145" s="1" t="s">
        <v>290</v>
      </c>
      <c r="C145" s="1"/>
      <c r="E145" s="1"/>
      <c r="F145" s="1"/>
      <c r="G145" s="1"/>
    </row>
    <row r="146">
      <c r="A146" s="1" t="s">
        <v>11</v>
      </c>
      <c r="B146" s="1" t="s">
        <v>291</v>
      </c>
      <c r="C146" s="1"/>
      <c r="E146" s="1"/>
      <c r="F146" s="1"/>
      <c r="G146" s="1"/>
    </row>
    <row r="147">
      <c r="A147" s="1" t="s">
        <v>13</v>
      </c>
      <c r="B147" s="1" t="s">
        <v>294</v>
      </c>
      <c r="C147" s="1"/>
      <c r="E147" s="1"/>
      <c r="F147" s="1"/>
      <c r="G147" s="1"/>
    </row>
    <row r="148">
      <c r="A148" s="1" t="s">
        <v>69</v>
      </c>
      <c r="B148" s="1" t="s">
        <v>295</v>
      </c>
      <c r="C148" s="1"/>
      <c r="E148" s="1"/>
      <c r="F148" s="1"/>
      <c r="G148" s="1"/>
    </row>
    <row r="149">
      <c r="A149" s="1" t="s">
        <v>3</v>
      </c>
      <c r="B149" s="1" t="s">
        <v>298</v>
      </c>
      <c r="C149" s="1"/>
      <c r="E149" s="1"/>
      <c r="F149" s="1"/>
      <c r="G149" s="1"/>
    </row>
    <row r="150">
      <c r="A150" s="1" t="s">
        <v>7</v>
      </c>
      <c r="B150" s="1" t="s">
        <v>21</v>
      </c>
      <c r="C150" s="1"/>
      <c r="E150" s="1"/>
      <c r="F150" s="1"/>
      <c r="G150" s="1"/>
    </row>
    <row r="151">
      <c r="A151" s="1" t="s">
        <v>9</v>
      </c>
      <c r="B151" s="1" t="s">
        <v>301</v>
      </c>
      <c r="C151" s="1"/>
      <c r="E151" s="1"/>
      <c r="F151" s="1"/>
      <c r="G151" s="1"/>
    </row>
    <row r="152">
      <c r="A152" s="1" t="s">
        <v>11</v>
      </c>
      <c r="B152" s="1" t="s">
        <v>302</v>
      </c>
      <c r="C152" s="1"/>
      <c r="E152" s="1"/>
      <c r="F152" s="1"/>
      <c r="G152" s="1"/>
    </row>
    <row r="153">
      <c r="A153" s="1" t="s">
        <v>13</v>
      </c>
      <c r="B153" s="1" t="s">
        <v>303</v>
      </c>
      <c r="C153" s="1"/>
      <c r="E153" s="1"/>
      <c r="F153" s="1"/>
      <c r="G153" s="1"/>
    </row>
    <row r="154">
      <c r="A154" s="1" t="s">
        <v>72</v>
      </c>
      <c r="B154" s="1" t="s">
        <v>305</v>
      </c>
      <c r="C154" s="1"/>
      <c r="E154" s="1"/>
      <c r="F154" s="1"/>
      <c r="G154" s="1"/>
    </row>
    <row r="155">
      <c r="A155" s="1" t="s">
        <v>3</v>
      </c>
      <c r="B155" s="1" t="s">
        <v>307</v>
      </c>
      <c r="C155" s="1"/>
      <c r="E155" s="1"/>
      <c r="F155" s="1"/>
      <c r="G155" s="1"/>
    </row>
    <row r="156">
      <c r="A156" s="1" t="s">
        <v>7</v>
      </c>
      <c r="B156" s="1" t="s">
        <v>21</v>
      </c>
      <c r="C156" s="1"/>
      <c r="E156" s="1"/>
      <c r="F156" s="1"/>
      <c r="G156" s="1"/>
    </row>
    <row r="157">
      <c r="A157" s="1" t="s">
        <v>9</v>
      </c>
      <c r="B157" s="1" t="s">
        <v>310</v>
      </c>
      <c r="C157" s="1"/>
      <c r="E157" s="1"/>
      <c r="F157" s="1"/>
      <c r="G157" s="1"/>
    </row>
    <row r="158">
      <c r="A158" s="1" t="s">
        <v>11</v>
      </c>
      <c r="B158" s="1" t="s">
        <v>316</v>
      </c>
      <c r="C158" s="1"/>
      <c r="E158" s="1"/>
      <c r="F158" s="1"/>
      <c r="G158" s="1"/>
    </row>
    <row r="159">
      <c r="A159" s="1" t="s">
        <v>13</v>
      </c>
      <c r="B159" s="1" t="s">
        <v>321</v>
      </c>
      <c r="C159" s="1"/>
      <c r="E159" s="1"/>
      <c r="F159" s="1"/>
      <c r="G159" s="1"/>
    </row>
    <row r="160">
      <c r="A160" s="1" t="s">
        <v>322</v>
      </c>
      <c r="B160" s="1" t="s">
        <v>323</v>
      </c>
      <c r="C160" s="1"/>
      <c r="E160" s="1"/>
      <c r="F160" s="1"/>
      <c r="G160" s="1"/>
    </row>
    <row r="161">
      <c r="A161" s="1" t="s">
        <v>3</v>
      </c>
      <c r="B161" s="1" t="s">
        <v>324</v>
      </c>
      <c r="C161" s="1"/>
      <c r="E161" s="1"/>
      <c r="F161" s="1"/>
      <c r="G161" s="1"/>
    </row>
    <row r="162">
      <c r="A162" s="1" t="s">
        <v>7</v>
      </c>
      <c r="B162" s="1" t="s">
        <v>325</v>
      </c>
      <c r="C162" s="1"/>
      <c r="E162" s="1"/>
      <c r="F162" s="1"/>
      <c r="G162" s="1"/>
    </row>
    <row r="163">
      <c r="A163" s="1" t="s">
        <v>156</v>
      </c>
      <c r="B163" s="1" t="s">
        <v>329</v>
      </c>
      <c r="C163" s="1"/>
      <c r="E163" s="1"/>
      <c r="F163" s="1"/>
      <c r="G163" s="1"/>
    </row>
    <row r="164">
      <c r="A164" s="1" t="s">
        <v>330</v>
      </c>
      <c r="B164" s="1" t="s">
        <v>331</v>
      </c>
      <c r="C164" s="1"/>
      <c r="E164" s="1"/>
      <c r="F164" s="1"/>
      <c r="G164" s="1"/>
    </row>
    <row r="165">
      <c r="A165" s="1" t="s">
        <v>156</v>
      </c>
      <c r="B165" s="1" t="s">
        <v>332</v>
      </c>
      <c r="C165" s="1"/>
      <c r="E165" s="1"/>
      <c r="F165" s="1"/>
      <c r="G165" s="1"/>
    </row>
    <row r="166">
      <c r="A166" s="1" t="s">
        <v>333</v>
      </c>
      <c r="B166" s="1" t="s">
        <v>334</v>
      </c>
      <c r="C166" s="1"/>
      <c r="E166" s="1"/>
      <c r="F166" s="1"/>
      <c r="G166" s="1"/>
    </row>
    <row r="167">
      <c r="A167" s="1" t="s">
        <v>156</v>
      </c>
      <c r="B167" s="1" t="s">
        <v>336</v>
      </c>
      <c r="C167" s="1"/>
      <c r="E167" s="1"/>
      <c r="F167" s="1"/>
      <c r="G167" s="1"/>
    </row>
    <row r="168">
      <c r="A168" s="1" t="s">
        <v>73</v>
      </c>
      <c r="B168" s="1" t="s">
        <v>341</v>
      </c>
      <c r="C168" s="1"/>
      <c r="E168" s="1"/>
      <c r="F168" s="1"/>
      <c r="G168" s="1"/>
    </row>
    <row r="169">
      <c r="A169" s="1" t="s">
        <v>3</v>
      </c>
      <c r="B169" s="1" t="s">
        <v>342</v>
      </c>
      <c r="C169" s="1"/>
      <c r="E169" s="1"/>
      <c r="F169" s="1"/>
      <c r="G169" s="1"/>
    </row>
    <row r="170">
      <c r="A170" s="1" t="s">
        <v>7</v>
      </c>
      <c r="B170" s="1" t="s">
        <v>21</v>
      </c>
      <c r="C170" s="1"/>
      <c r="E170" s="1"/>
      <c r="F170" s="1"/>
      <c r="G170" s="1"/>
    </row>
    <row r="171">
      <c r="A171" s="1" t="s">
        <v>9</v>
      </c>
      <c r="B171" s="1" t="s">
        <v>344</v>
      </c>
      <c r="C171" s="1"/>
      <c r="E171" s="1"/>
      <c r="F171" s="1"/>
      <c r="G171" s="1"/>
    </row>
    <row r="172">
      <c r="A172" s="1" t="s">
        <v>11</v>
      </c>
      <c r="B172" s="1" t="s">
        <v>345</v>
      </c>
      <c r="C172" s="1"/>
      <c r="E172" s="1"/>
      <c r="F172" s="1"/>
      <c r="G172" s="1"/>
    </row>
    <row r="173">
      <c r="A173" s="1" t="s">
        <v>13</v>
      </c>
      <c r="B173" s="1" t="s">
        <v>346</v>
      </c>
      <c r="C173" s="1"/>
      <c r="E173" s="1"/>
      <c r="F173" s="1"/>
      <c r="G173" s="1"/>
    </row>
    <row r="174">
      <c r="A174" s="1" t="s">
        <v>76</v>
      </c>
      <c r="B174" s="1" t="s">
        <v>347</v>
      </c>
      <c r="C174" s="1"/>
      <c r="E174" s="1"/>
      <c r="F174" s="1"/>
      <c r="G174" s="1"/>
    </row>
    <row r="175">
      <c r="A175" s="1" t="s">
        <v>3</v>
      </c>
      <c r="B175" s="1" t="s">
        <v>348</v>
      </c>
      <c r="C175" s="1"/>
      <c r="E175" s="1"/>
      <c r="F175" s="1"/>
      <c r="G175" s="1"/>
    </row>
    <row r="176">
      <c r="A176" s="1" t="s">
        <v>7</v>
      </c>
      <c r="B176" s="1" t="s">
        <v>21</v>
      </c>
      <c r="C176" s="1"/>
      <c r="E176" s="1"/>
      <c r="F176" s="1"/>
      <c r="G176" s="1"/>
    </row>
    <row r="177">
      <c r="A177" s="1" t="s">
        <v>9</v>
      </c>
      <c r="B177" s="1" t="s">
        <v>349</v>
      </c>
      <c r="C177" s="1"/>
      <c r="E177" s="1"/>
      <c r="F177" s="1"/>
      <c r="G177" s="1"/>
    </row>
    <row r="178">
      <c r="A178" s="1" t="s">
        <v>11</v>
      </c>
      <c r="B178" s="1" t="s">
        <v>350</v>
      </c>
      <c r="C178" s="1"/>
      <c r="E178" s="1"/>
      <c r="F178" s="1"/>
      <c r="G178" s="1"/>
    </row>
    <row r="179">
      <c r="A179" s="1" t="s">
        <v>13</v>
      </c>
      <c r="B179" s="1" t="s">
        <v>354</v>
      </c>
      <c r="C179" s="1"/>
      <c r="E179" s="1"/>
      <c r="F179" s="1"/>
      <c r="G179" s="1"/>
    </row>
    <row r="180">
      <c r="A180" s="1" t="s">
        <v>78</v>
      </c>
      <c r="B180" s="1" t="s">
        <v>358</v>
      </c>
      <c r="C180" s="1"/>
      <c r="E180" s="1"/>
      <c r="F180" s="1"/>
      <c r="G180" s="1"/>
    </row>
    <row r="181">
      <c r="A181" s="1" t="s">
        <v>3</v>
      </c>
      <c r="B181" s="1" t="s">
        <v>360</v>
      </c>
      <c r="C181" s="1"/>
      <c r="E181" s="1"/>
      <c r="F181" s="1"/>
      <c r="G181" s="1"/>
    </row>
    <row r="182">
      <c r="A182" s="1" t="s">
        <v>7</v>
      </c>
      <c r="B182" s="1" t="s">
        <v>21</v>
      </c>
      <c r="C182" s="1"/>
      <c r="E182" s="1"/>
      <c r="F182" s="1"/>
      <c r="G182" s="1"/>
    </row>
    <row r="183">
      <c r="A183" s="1" t="s">
        <v>9</v>
      </c>
      <c r="B183" s="1" t="s">
        <v>361</v>
      </c>
      <c r="C183" s="1"/>
      <c r="E183" s="1"/>
      <c r="F183" s="1"/>
      <c r="G183" s="1"/>
    </row>
    <row r="184">
      <c r="A184" s="1" t="s">
        <v>11</v>
      </c>
      <c r="B184" s="1" t="s">
        <v>362</v>
      </c>
      <c r="C184" s="1"/>
      <c r="E184" s="1"/>
      <c r="F184" s="1"/>
      <c r="G184" s="1"/>
    </row>
    <row r="185">
      <c r="A185" s="1" t="s">
        <v>13</v>
      </c>
      <c r="B185" s="1" t="s">
        <v>363</v>
      </c>
      <c r="C185" s="1"/>
      <c r="E185" s="1"/>
      <c r="F185" s="1"/>
      <c r="G185" s="1"/>
    </row>
    <row r="186">
      <c r="A186" s="1" t="s">
        <v>79</v>
      </c>
      <c r="B186" s="1" t="s">
        <v>364</v>
      </c>
      <c r="C186" s="1"/>
      <c r="E186" s="1"/>
      <c r="F186" s="1"/>
      <c r="G186" s="1"/>
    </row>
    <row r="187">
      <c r="A187" s="1" t="s">
        <v>3</v>
      </c>
      <c r="B187" s="1" t="s">
        <v>365</v>
      </c>
      <c r="C187" s="1"/>
      <c r="E187" s="1"/>
      <c r="F187" s="1"/>
      <c r="G187" s="1"/>
    </row>
    <row r="188">
      <c r="A188" s="1" t="s">
        <v>7</v>
      </c>
      <c r="B188" s="1" t="s">
        <v>21</v>
      </c>
      <c r="C188" s="1"/>
      <c r="E188" s="1"/>
      <c r="F188" s="1"/>
      <c r="G188" s="1"/>
    </row>
    <row r="189">
      <c r="A189" s="1" t="s">
        <v>9</v>
      </c>
      <c r="B189" s="1" t="s">
        <v>366</v>
      </c>
      <c r="C189" s="1"/>
      <c r="E189" s="1"/>
      <c r="F189" s="1"/>
      <c r="G189" s="1"/>
    </row>
    <row r="190">
      <c r="A190" s="1" t="s">
        <v>11</v>
      </c>
      <c r="B190" s="1" t="s">
        <v>367</v>
      </c>
      <c r="C190" s="1"/>
      <c r="E190" s="1"/>
      <c r="F190" s="1"/>
      <c r="G190" s="1"/>
    </row>
    <row r="191">
      <c r="A191" s="1" t="s">
        <v>13</v>
      </c>
      <c r="B191" s="1" t="s">
        <v>370</v>
      </c>
      <c r="C191" s="1"/>
      <c r="E191" s="1"/>
      <c r="F191" s="1"/>
      <c r="G191" s="1"/>
    </row>
    <row r="192">
      <c r="A192" s="1" t="s">
        <v>81</v>
      </c>
      <c r="B192" s="1" t="s">
        <v>374</v>
      </c>
      <c r="C192" s="1"/>
      <c r="E192" s="1"/>
      <c r="F192" s="1"/>
      <c r="G192" s="1"/>
    </row>
    <row r="193">
      <c r="A193" s="1" t="s">
        <v>3</v>
      </c>
      <c r="B193" s="1" t="s">
        <v>377</v>
      </c>
      <c r="C193" s="1"/>
      <c r="E193" s="1"/>
      <c r="F193" s="1"/>
      <c r="G193" s="1"/>
    </row>
    <row r="194">
      <c r="A194" s="1" t="s">
        <v>7</v>
      </c>
      <c r="B194" s="1" t="s">
        <v>21</v>
      </c>
      <c r="C194" s="1"/>
      <c r="E194" s="1"/>
      <c r="F194" s="1"/>
      <c r="G194" s="1"/>
    </row>
    <row r="195">
      <c r="A195" s="1" t="s">
        <v>9</v>
      </c>
      <c r="B195" s="1" t="s">
        <v>378</v>
      </c>
      <c r="C195" s="1"/>
      <c r="E195" s="1"/>
      <c r="F195" s="1"/>
      <c r="G195" s="1"/>
    </row>
    <row r="196">
      <c r="A196" s="1" t="s">
        <v>11</v>
      </c>
      <c r="B196" s="1" t="s">
        <v>379</v>
      </c>
      <c r="C196" s="1"/>
      <c r="E196" s="1"/>
      <c r="F196" s="1"/>
      <c r="G196" s="1"/>
    </row>
    <row r="197">
      <c r="A197" s="1" t="s">
        <v>13</v>
      </c>
      <c r="B197" s="1" t="s">
        <v>380</v>
      </c>
      <c r="C197" s="1"/>
      <c r="E197" s="1"/>
      <c r="F197" s="1"/>
      <c r="G197" s="1"/>
    </row>
    <row r="198">
      <c r="A198" s="1" t="s">
        <v>82</v>
      </c>
      <c r="B198" s="1" t="s">
        <v>381</v>
      </c>
      <c r="C198" s="1"/>
      <c r="E198" s="1"/>
      <c r="F198" s="1"/>
      <c r="G198" s="1"/>
    </row>
    <row r="199">
      <c r="A199" s="1" t="s">
        <v>3</v>
      </c>
      <c r="B199" s="1" t="s">
        <v>382</v>
      </c>
      <c r="C199" s="1"/>
      <c r="E199" s="1"/>
      <c r="F199" s="1"/>
      <c r="G199" s="1"/>
    </row>
    <row r="200">
      <c r="A200" s="1" t="s">
        <v>7</v>
      </c>
      <c r="B200" s="1" t="s">
        <v>383</v>
      </c>
      <c r="C200" s="1"/>
      <c r="E200" s="1"/>
      <c r="F200" s="1"/>
      <c r="G200" s="1"/>
    </row>
    <row r="201">
      <c r="A201" s="1" t="s">
        <v>9</v>
      </c>
      <c r="B201" s="1" t="s">
        <v>384</v>
      </c>
      <c r="C201" s="1"/>
      <c r="E201" s="1"/>
      <c r="F201" s="1"/>
      <c r="G201" s="1"/>
    </row>
    <row r="202">
      <c r="A202" s="1" t="s">
        <v>11</v>
      </c>
      <c r="B202" s="1" t="s">
        <v>385</v>
      </c>
      <c r="C202" s="1"/>
      <c r="E202" s="1"/>
      <c r="F202" s="1"/>
      <c r="G202" s="1"/>
    </row>
    <row r="203">
      <c r="A203" s="1" t="s">
        <v>13</v>
      </c>
      <c r="B203" s="1" t="s">
        <v>386</v>
      </c>
      <c r="C203" s="1"/>
      <c r="E203" s="1"/>
      <c r="F203" s="1"/>
      <c r="G203" s="1"/>
    </row>
    <row r="204">
      <c r="A204" s="1" t="s">
        <v>83</v>
      </c>
      <c r="B204" s="1" t="s">
        <v>388</v>
      </c>
      <c r="C204" s="1"/>
      <c r="E204" s="1"/>
      <c r="F204" s="1"/>
      <c r="G204" s="1"/>
    </row>
    <row r="205">
      <c r="A205" s="1" t="s">
        <v>3</v>
      </c>
      <c r="B205" s="1" t="s">
        <v>391</v>
      </c>
      <c r="C205" s="1"/>
      <c r="E205" s="1"/>
      <c r="F205" s="1"/>
      <c r="G205" s="1"/>
    </row>
    <row r="206">
      <c r="A206" s="1" t="s">
        <v>7</v>
      </c>
      <c r="B206" s="1" t="s">
        <v>21</v>
      </c>
      <c r="C206" s="1"/>
      <c r="E206" s="1"/>
      <c r="F206" s="1"/>
      <c r="G206" s="1"/>
    </row>
    <row r="207">
      <c r="A207" s="1" t="s">
        <v>9</v>
      </c>
      <c r="B207" s="1" t="s">
        <v>396</v>
      </c>
      <c r="C207" s="1"/>
      <c r="E207" s="1"/>
      <c r="F207" s="1"/>
      <c r="G207" s="1"/>
    </row>
    <row r="208">
      <c r="A208" s="1" t="s">
        <v>11</v>
      </c>
      <c r="B208" s="1" t="s">
        <v>399</v>
      </c>
      <c r="C208" s="1"/>
      <c r="E208" s="1"/>
      <c r="F208" s="1"/>
      <c r="G208" s="1"/>
    </row>
    <row r="209">
      <c r="A209" s="1" t="s">
        <v>13</v>
      </c>
      <c r="B209" s="1" t="s">
        <v>403</v>
      </c>
      <c r="C209" s="1"/>
      <c r="E209" s="1"/>
      <c r="F209" s="1"/>
      <c r="G209" s="1"/>
    </row>
    <row r="210">
      <c r="A210" s="1" t="s">
        <v>408</v>
      </c>
      <c r="B210" s="1" t="s">
        <v>411</v>
      </c>
      <c r="C210" s="1"/>
      <c r="E210" s="1"/>
      <c r="F210" s="1"/>
      <c r="G210" s="1"/>
    </row>
    <row r="211">
      <c r="A211" s="1" t="s">
        <v>3</v>
      </c>
      <c r="B211" s="1" t="s">
        <v>415</v>
      </c>
      <c r="C211" s="1"/>
      <c r="E211" s="1"/>
      <c r="F211" s="1"/>
      <c r="G211" s="1"/>
    </row>
    <row r="212">
      <c r="A212" s="1" t="s">
        <v>7</v>
      </c>
      <c r="B212" s="1" t="s">
        <v>21</v>
      </c>
      <c r="C212" s="1"/>
      <c r="E212" s="1"/>
      <c r="F212" s="1"/>
      <c r="G212" s="1"/>
    </row>
    <row r="213">
      <c r="A213" s="1" t="s">
        <v>9</v>
      </c>
      <c r="B213" s="1" t="s">
        <v>419</v>
      </c>
      <c r="C213" s="1"/>
      <c r="E213" s="1"/>
      <c r="F213" s="1"/>
      <c r="G213" s="1"/>
    </row>
    <row r="214">
      <c r="A214" s="1" t="s">
        <v>11</v>
      </c>
      <c r="B214" s="1" t="s">
        <v>423</v>
      </c>
      <c r="C214" s="1"/>
      <c r="E214" s="1"/>
      <c r="F214" s="1"/>
      <c r="G214" s="1"/>
    </row>
    <row r="215">
      <c r="A215" s="1" t="s">
        <v>156</v>
      </c>
      <c r="B215" s="1" t="s">
        <v>426</v>
      </c>
      <c r="C215" s="1"/>
      <c r="E215" s="1"/>
      <c r="F215" s="1"/>
      <c r="G215" s="1"/>
    </row>
    <row r="216">
      <c r="A216" s="1" t="s">
        <v>429</v>
      </c>
      <c r="B216" s="1" t="s">
        <v>430</v>
      </c>
      <c r="C216" s="1"/>
      <c r="E216" s="1"/>
      <c r="F216" s="1"/>
      <c r="G216" s="1"/>
    </row>
    <row r="217">
      <c r="A217" s="1" t="s">
        <v>3</v>
      </c>
      <c r="B217" s="1" t="s">
        <v>433</v>
      </c>
      <c r="C217" s="1"/>
      <c r="E217" s="1"/>
      <c r="F217" s="1"/>
      <c r="G217" s="1"/>
    </row>
    <row r="218">
      <c r="A218" s="1" t="s">
        <v>7</v>
      </c>
      <c r="B218" s="1" t="s">
        <v>21</v>
      </c>
      <c r="C218" s="1"/>
      <c r="E218" s="1"/>
      <c r="F218" s="1"/>
      <c r="G218" s="1"/>
    </row>
    <row r="219">
      <c r="A219" s="1" t="s">
        <v>156</v>
      </c>
      <c r="B219" s="1" t="s">
        <v>438</v>
      </c>
      <c r="C219" s="1"/>
      <c r="E219" s="1"/>
      <c r="F219" s="1"/>
      <c r="G219" s="1"/>
    </row>
    <row r="220">
      <c r="A220" s="1" t="s">
        <v>85</v>
      </c>
      <c r="B220" s="1" t="s">
        <v>442</v>
      </c>
      <c r="C220" s="1"/>
      <c r="E220" s="1"/>
      <c r="F220" s="1"/>
      <c r="G220" s="1"/>
    </row>
    <row r="221">
      <c r="A221" s="1" t="s">
        <v>3</v>
      </c>
      <c r="B221" s="1" t="s">
        <v>444</v>
      </c>
      <c r="C221" s="1"/>
      <c r="E221" s="1"/>
      <c r="F221" s="1"/>
      <c r="G221" s="1"/>
    </row>
    <row r="222">
      <c r="A222" s="1" t="s">
        <v>7</v>
      </c>
      <c r="B222" s="1" t="s">
        <v>21</v>
      </c>
      <c r="C222" s="1"/>
      <c r="E222" s="1"/>
      <c r="F222" s="1"/>
      <c r="G222" s="1"/>
    </row>
    <row r="223">
      <c r="A223" s="1" t="s">
        <v>9</v>
      </c>
      <c r="B223" s="1" t="s">
        <v>449</v>
      </c>
      <c r="C223" s="1"/>
      <c r="E223" s="1"/>
      <c r="F223" s="1"/>
      <c r="G223" s="1"/>
    </row>
    <row r="224">
      <c r="A224" s="1" t="s">
        <v>11</v>
      </c>
      <c r="B224" s="1" t="s">
        <v>452</v>
      </c>
      <c r="C224" s="1"/>
      <c r="E224" s="1"/>
      <c r="F224" s="1"/>
      <c r="G224" s="1"/>
    </row>
    <row r="225">
      <c r="A225" s="1" t="s">
        <v>13</v>
      </c>
      <c r="B225" s="1" t="s">
        <v>456</v>
      </c>
      <c r="C225" s="1"/>
      <c r="E225" s="1"/>
      <c r="F225" s="1"/>
      <c r="G225" s="1"/>
    </row>
    <row r="226">
      <c r="A226" s="1" t="s">
        <v>86</v>
      </c>
      <c r="B226" s="1" t="s">
        <v>459</v>
      </c>
      <c r="C226" s="1"/>
      <c r="E226" s="1"/>
      <c r="F226" s="1"/>
      <c r="G226" s="1"/>
    </row>
    <row r="227">
      <c r="A227" s="1" t="s">
        <v>3</v>
      </c>
      <c r="B227" s="1" t="s">
        <v>462</v>
      </c>
      <c r="C227" s="1"/>
      <c r="E227" s="1"/>
      <c r="F227" s="1"/>
      <c r="G227" s="1"/>
    </row>
    <row r="228">
      <c r="A228" s="1" t="s">
        <v>7</v>
      </c>
      <c r="B228" s="1" t="s">
        <v>21</v>
      </c>
      <c r="C228" s="1"/>
      <c r="E228" s="1"/>
      <c r="F228" s="1"/>
      <c r="G228" s="1"/>
    </row>
    <row r="229">
      <c r="A229" s="1" t="s">
        <v>9</v>
      </c>
      <c r="B229" s="1" t="s">
        <v>467</v>
      </c>
      <c r="C229" s="1"/>
      <c r="E229" s="1"/>
      <c r="F229" s="1"/>
      <c r="G229" s="1"/>
    </row>
    <row r="230">
      <c r="A230" s="1" t="s">
        <v>11</v>
      </c>
      <c r="B230" s="1" t="s">
        <v>471</v>
      </c>
      <c r="C230" s="1"/>
      <c r="E230" s="1"/>
      <c r="F230" s="1"/>
      <c r="G230" s="1"/>
    </row>
    <row r="231">
      <c r="A231" s="1" t="s">
        <v>13</v>
      </c>
      <c r="B231" s="1" t="s">
        <v>474</v>
      </c>
      <c r="C231" s="1"/>
      <c r="E231" s="1"/>
      <c r="F231" s="1"/>
      <c r="G231" s="1"/>
    </row>
    <row r="232">
      <c r="A232" s="1" t="s">
        <v>87</v>
      </c>
      <c r="B232" s="1" t="s">
        <v>478</v>
      </c>
      <c r="C232" s="1"/>
      <c r="E232" s="1"/>
      <c r="F232" s="1"/>
      <c r="G232" s="1"/>
    </row>
    <row r="233">
      <c r="A233" s="1" t="s">
        <v>3</v>
      </c>
      <c r="B233" s="1" t="s">
        <v>481</v>
      </c>
      <c r="C233" s="1"/>
      <c r="E233" s="1"/>
      <c r="F233" s="1"/>
      <c r="G233" s="1"/>
    </row>
    <row r="234">
      <c r="A234" s="1" t="s">
        <v>7</v>
      </c>
      <c r="B234" s="1" t="s">
        <v>8</v>
      </c>
      <c r="C234" s="1"/>
      <c r="E234" s="1"/>
      <c r="F234" s="1"/>
      <c r="G234" s="1"/>
    </row>
    <row r="235">
      <c r="A235" s="1" t="s">
        <v>9</v>
      </c>
      <c r="B235" s="1" t="s">
        <v>489</v>
      </c>
      <c r="C235" s="1"/>
      <c r="E235" s="1"/>
      <c r="F235" s="1"/>
      <c r="G235" s="1"/>
    </row>
    <row r="236">
      <c r="A236" s="1" t="s">
        <v>11</v>
      </c>
      <c r="B236" s="1" t="s">
        <v>497</v>
      </c>
      <c r="C236" s="1"/>
      <c r="E236" s="1"/>
      <c r="F236" s="1"/>
      <c r="G236" s="1"/>
    </row>
    <row r="237">
      <c r="A237" s="1" t="s">
        <v>13</v>
      </c>
      <c r="B237" s="1" t="s">
        <v>503</v>
      </c>
      <c r="C237" s="1"/>
      <c r="E237" s="1"/>
      <c r="F237" s="1"/>
      <c r="G237" s="1"/>
    </row>
    <row r="238">
      <c r="A238" s="1" t="s">
        <v>89</v>
      </c>
      <c r="B238" s="1" t="s">
        <v>507</v>
      </c>
      <c r="C238" s="1"/>
      <c r="E238" s="1"/>
      <c r="F238" s="1"/>
      <c r="G238" s="1"/>
    </row>
    <row r="239">
      <c r="A239" s="1" t="s">
        <v>3</v>
      </c>
      <c r="B239" s="1" t="s">
        <v>511</v>
      </c>
      <c r="C239" s="1"/>
      <c r="E239" s="1"/>
      <c r="F239" s="1"/>
      <c r="G239" s="1"/>
    </row>
    <row r="240">
      <c r="A240" s="1" t="s">
        <v>7</v>
      </c>
      <c r="B240" s="1" t="s">
        <v>21</v>
      </c>
      <c r="C240" s="1"/>
      <c r="E240" s="1"/>
      <c r="F240" s="1"/>
      <c r="G240" s="1"/>
    </row>
    <row r="241">
      <c r="A241" s="1" t="s">
        <v>9</v>
      </c>
      <c r="B241" s="1" t="s">
        <v>521</v>
      </c>
      <c r="C241" s="1"/>
      <c r="E241" s="1"/>
      <c r="F241" s="1"/>
      <c r="G241" s="1"/>
    </row>
    <row r="242">
      <c r="A242" s="1" t="s">
        <v>11</v>
      </c>
      <c r="B242" s="1" t="s">
        <v>524</v>
      </c>
      <c r="C242" s="1"/>
      <c r="E242" s="1"/>
      <c r="F242" s="1"/>
      <c r="G242" s="1"/>
    </row>
    <row r="243">
      <c r="A243" s="1" t="s">
        <v>13</v>
      </c>
      <c r="B243" s="1" t="s">
        <v>527</v>
      </c>
      <c r="C243" s="1"/>
      <c r="E243" s="1"/>
      <c r="F243" s="1"/>
      <c r="G243" s="1"/>
    </row>
    <row r="244">
      <c r="A244" s="1" t="s">
        <v>90</v>
      </c>
      <c r="B244" s="1" t="s">
        <v>531</v>
      </c>
      <c r="C244" s="1"/>
      <c r="E244" s="1"/>
      <c r="F244" s="1"/>
      <c r="G244" s="1"/>
    </row>
    <row r="245">
      <c r="A245" s="1" t="s">
        <v>3</v>
      </c>
      <c r="B245" s="1" t="s">
        <v>536</v>
      </c>
      <c r="C245" s="1"/>
      <c r="E245" s="1"/>
      <c r="F245" s="1"/>
      <c r="G245" s="1"/>
    </row>
    <row r="246">
      <c r="A246" s="1" t="s">
        <v>7</v>
      </c>
      <c r="B246" s="1" t="s">
        <v>8</v>
      </c>
      <c r="C246" s="1"/>
      <c r="E246" s="1"/>
      <c r="F246" s="1"/>
      <c r="G246" s="1"/>
    </row>
    <row r="247">
      <c r="A247" s="1" t="s">
        <v>9</v>
      </c>
      <c r="B247" s="1" t="s">
        <v>546</v>
      </c>
      <c r="C247" s="1"/>
      <c r="E247" s="1"/>
      <c r="F247" s="1"/>
      <c r="G247" s="1"/>
    </row>
    <row r="248">
      <c r="A248" s="1" t="s">
        <v>11</v>
      </c>
      <c r="B248" s="1" t="s">
        <v>552</v>
      </c>
      <c r="C248" s="1"/>
      <c r="E248" s="1"/>
      <c r="F248" s="1"/>
      <c r="G248" s="1"/>
    </row>
    <row r="249">
      <c r="A249" s="1" t="s">
        <v>13</v>
      </c>
      <c r="B249" s="1" t="s">
        <v>557</v>
      </c>
      <c r="C249" s="1"/>
      <c r="E249" s="1"/>
      <c r="F249" s="1"/>
      <c r="G249" s="1"/>
    </row>
    <row r="250">
      <c r="A250" s="1" t="s">
        <v>92</v>
      </c>
      <c r="B250" s="1" t="s">
        <v>560</v>
      </c>
      <c r="C250" s="1"/>
      <c r="E250" s="1"/>
      <c r="F250" s="1"/>
      <c r="G250" s="1"/>
    </row>
    <row r="251">
      <c r="A251" s="1" t="s">
        <v>3</v>
      </c>
      <c r="B251" s="1" t="s">
        <v>561</v>
      </c>
      <c r="C251" s="1"/>
      <c r="E251" s="1"/>
      <c r="F251" s="1"/>
      <c r="G251" s="1"/>
    </row>
    <row r="252">
      <c r="A252" s="1" t="s">
        <v>7</v>
      </c>
      <c r="B252" s="1" t="s">
        <v>21</v>
      </c>
      <c r="C252" s="1"/>
      <c r="E252" s="1"/>
      <c r="F252" s="1"/>
      <c r="G252" s="1"/>
    </row>
    <row r="253">
      <c r="A253" s="1" t="s">
        <v>9</v>
      </c>
      <c r="B253" s="1" t="s">
        <v>562</v>
      </c>
      <c r="C253" s="1"/>
      <c r="E253" s="1"/>
      <c r="F253" s="1"/>
      <c r="G253" s="1"/>
    </row>
    <row r="254">
      <c r="A254" s="1" t="s">
        <v>11</v>
      </c>
      <c r="B254" s="1" t="s">
        <v>563</v>
      </c>
      <c r="C254" s="1"/>
      <c r="E254" s="1"/>
      <c r="F254" s="1"/>
      <c r="G254" s="1"/>
    </row>
    <row r="255">
      <c r="A255" s="1" t="s">
        <v>13</v>
      </c>
      <c r="B255" s="1" t="s">
        <v>564</v>
      </c>
      <c r="C255" s="1"/>
      <c r="E255" s="1"/>
      <c r="F255" s="1"/>
      <c r="G255" s="1"/>
    </row>
    <row r="256">
      <c r="A256" s="1" t="s">
        <v>93</v>
      </c>
      <c r="B256" s="1" t="s">
        <v>565</v>
      </c>
      <c r="C256" s="1"/>
      <c r="E256" s="1"/>
      <c r="F256" s="1"/>
      <c r="G256" s="1"/>
    </row>
    <row r="257">
      <c r="A257" s="1" t="s">
        <v>3</v>
      </c>
      <c r="B257" s="1" t="s">
        <v>566</v>
      </c>
      <c r="C257" s="1"/>
      <c r="E257" s="1"/>
      <c r="F257" s="1"/>
      <c r="G257" s="1"/>
    </row>
    <row r="258">
      <c r="A258" s="1" t="s">
        <v>7</v>
      </c>
      <c r="B258" s="1" t="s">
        <v>21</v>
      </c>
      <c r="C258" s="1"/>
      <c r="E258" s="1"/>
      <c r="F258" s="1"/>
      <c r="G258" s="1"/>
    </row>
    <row r="259">
      <c r="A259" s="1" t="s">
        <v>9</v>
      </c>
      <c r="B259" s="1" t="s">
        <v>568</v>
      </c>
      <c r="C259" s="1"/>
      <c r="E259" s="1"/>
      <c r="F259" s="1"/>
      <c r="G259" s="1"/>
    </row>
    <row r="260">
      <c r="A260" s="1" t="s">
        <v>11</v>
      </c>
      <c r="B260" s="1" t="s">
        <v>570</v>
      </c>
      <c r="C260" s="1"/>
      <c r="E260" s="1"/>
      <c r="F260" s="1"/>
      <c r="G260" s="1"/>
    </row>
    <row r="261">
      <c r="A261" s="1" t="s">
        <v>13</v>
      </c>
      <c r="B261" s="1" t="s">
        <v>572</v>
      </c>
      <c r="C261" s="1"/>
      <c r="E261" s="1"/>
      <c r="F261" s="1"/>
      <c r="G261" s="1"/>
    </row>
    <row r="262">
      <c r="A262" s="1" t="s">
        <v>95</v>
      </c>
      <c r="B262" s="1" t="s">
        <v>573</v>
      </c>
      <c r="C262" s="1"/>
      <c r="E262" s="1"/>
      <c r="F262" s="1"/>
      <c r="G262" s="1"/>
    </row>
    <row r="263">
      <c r="A263" s="1" t="s">
        <v>3</v>
      </c>
      <c r="B263" s="1" t="s">
        <v>574</v>
      </c>
      <c r="C263" s="1"/>
      <c r="E263" s="1"/>
      <c r="F263" s="1"/>
      <c r="G263" s="1"/>
    </row>
    <row r="264">
      <c r="A264" s="1" t="s">
        <v>7</v>
      </c>
      <c r="B264" s="1" t="s">
        <v>21</v>
      </c>
      <c r="C264" s="1"/>
      <c r="E264" s="1"/>
      <c r="F264" s="1"/>
      <c r="G264" s="1"/>
    </row>
    <row r="265">
      <c r="A265" s="1" t="s">
        <v>9</v>
      </c>
      <c r="B265" s="1" t="s">
        <v>575</v>
      </c>
      <c r="C265" s="1"/>
      <c r="E265" s="1"/>
      <c r="F265" s="1"/>
      <c r="G265" s="1"/>
    </row>
    <row r="266">
      <c r="A266" s="1" t="s">
        <v>11</v>
      </c>
      <c r="B266" s="1" t="s">
        <v>576</v>
      </c>
      <c r="C266" s="1"/>
      <c r="E266" s="1"/>
      <c r="F266" s="1"/>
      <c r="G266" s="1"/>
    </row>
    <row r="267">
      <c r="A267" s="1" t="s">
        <v>13</v>
      </c>
      <c r="B267" s="1" t="s">
        <v>577</v>
      </c>
      <c r="C267" s="1"/>
      <c r="E267" s="1"/>
      <c r="F267" s="1"/>
      <c r="G267" s="1"/>
    </row>
    <row r="268">
      <c r="A268" s="1" t="s">
        <v>96</v>
      </c>
      <c r="B268" s="1" t="s">
        <v>578</v>
      </c>
      <c r="C268" s="1"/>
      <c r="E268" s="1"/>
      <c r="F268" s="1"/>
      <c r="G268" s="1"/>
    </row>
    <row r="269">
      <c r="A269" s="1" t="s">
        <v>3</v>
      </c>
      <c r="B269" s="1" t="s">
        <v>579</v>
      </c>
      <c r="C269" s="1"/>
      <c r="E269" s="1"/>
      <c r="F269" s="1"/>
      <c r="G269" s="1"/>
    </row>
    <row r="270">
      <c r="A270" s="1" t="s">
        <v>7</v>
      </c>
      <c r="B270" s="1" t="s">
        <v>21</v>
      </c>
      <c r="C270" s="1"/>
      <c r="E270" s="1"/>
      <c r="F270" s="1"/>
      <c r="G270" s="1"/>
    </row>
    <row r="271">
      <c r="A271" s="1" t="s">
        <v>9</v>
      </c>
      <c r="B271" s="1" t="s">
        <v>580</v>
      </c>
      <c r="C271" s="1"/>
      <c r="E271" s="1"/>
      <c r="F271" s="1"/>
      <c r="G271" s="1"/>
    </row>
    <row r="272">
      <c r="A272" s="1" t="s">
        <v>11</v>
      </c>
      <c r="B272" s="1" t="s">
        <v>581</v>
      </c>
      <c r="C272" s="1"/>
      <c r="E272" s="1"/>
      <c r="F272" s="1"/>
      <c r="G272" s="1"/>
    </row>
    <row r="273">
      <c r="A273" s="1" t="s">
        <v>13</v>
      </c>
      <c r="B273" s="1" t="s">
        <v>584</v>
      </c>
      <c r="C273" s="1"/>
      <c r="E273" s="1"/>
      <c r="F273" s="1"/>
      <c r="G273" s="1"/>
    </row>
    <row r="274">
      <c r="A274" s="1" t="s">
        <v>98</v>
      </c>
      <c r="B274" s="1" t="s">
        <v>589</v>
      </c>
      <c r="C274" s="1"/>
      <c r="E274" s="1"/>
      <c r="F274" s="1"/>
      <c r="G274" s="1"/>
    </row>
    <row r="275">
      <c r="A275" s="1" t="s">
        <v>3</v>
      </c>
      <c r="B275" s="1" t="s">
        <v>591</v>
      </c>
      <c r="C275" s="1"/>
      <c r="E275" s="1"/>
      <c r="F275" s="1"/>
      <c r="G275" s="1"/>
    </row>
    <row r="276">
      <c r="A276" s="1" t="s">
        <v>7</v>
      </c>
      <c r="B276" s="1" t="s">
        <v>592</v>
      </c>
      <c r="C276" s="1"/>
      <c r="E276" s="1"/>
      <c r="F276" s="1"/>
      <c r="G276" s="1"/>
    </row>
    <row r="277">
      <c r="A277" s="1" t="s">
        <v>9</v>
      </c>
      <c r="B277" s="1" t="s">
        <v>593</v>
      </c>
      <c r="C277" s="1"/>
      <c r="E277" s="1"/>
      <c r="F277" s="1"/>
      <c r="G277" s="1"/>
    </row>
    <row r="278">
      <c r="A278" s="1" t="s">
        <v>11</v>
      </c>
      <c r="B278" s="1" t="s">
        <v>594</v>
      </c>
      <c r="C278" s="1"/>
      <c r="E278" s="1"/>
      <c r="F278" s="1"/>
      <c r="G278" s="1"/>
    </row>
    <row r="279">
      <c r="A279" s="1" t="s">
        <v>13</v>
      </c>
      <c r="B279" s="1" t="s">
        <v>595</v>
      </c>
      <c r="C279" s="1"/>
      <c r="E279" s="1"/>
      <c r="F279" s="1"/>
      <c r="G279" s="1"/>
    </row>
    <row r="280">
      <c r="A280" s="1" t="s">
        <v>101</v>
      </c>
      <c r="B280" s="1" t="s">
        <v>596</v>
      </c>
      <c r="C280" s="1"/>
      <c r="E280" s="1"/>
      <c r="F280" s="1"/>
      <c r="G280" s="1"/>
    </row>
    <row r="281">
      <c r="A281" s="1" t="s">
        <v>3</v>
      </c>
      <c r="B281" s="1" t="s">
        <v>597</v>
      </c>
      <c r="C281" s="1"/>
      <c r="E281" s="1"/>
      <c r="F281" s="1"/>
      <c r="G281" s="1"/>
    </row>
    <row r="282">
      <c r="A282" s="1" t="s">
        <v>7</v>
      </c>
      <c r="B282" s="1" t="s">
        <v>592</v>
      </c>
      <c r="C282" s="1"/>
      <c r="E282" s="1"/>
      <c r="F282" s="1"/>
      <c r="G282" s="1"/>
    </row>
    <row r="283">
      <c r="A283" s="1" t="s">
        <v>9</v>
      </c>
      <c r="B283" s="1" t="s">
        <v>593</v>
      </c>
      <c r="C283" s="1"/>
      <c r="E283" s="1"/>
      <c r="F283" s="1"/>
      <c r="G283" s="1"/>
    </row>
    <row r="284">
      <c r="A284" s="1" t="s">
        <v>11</v>
      </c>
      <c r="B284" s="1" t="s">
        <v>594</v>
      </c>
      <c r="C284" s="1"/>
      <c r="E284" s="1"/>
      <c r="F284" s="1"/>
      <c r="G284" s="1"/>
    </row>
    <row r="285">
      <c r="A285" s="1" t="s">
        <v>13</v>
      </c>
      <c r="B285" s="1" t="s">
        <v>604</v>
      </c>
      <c r="C285" s="1"/>
      <c r="E285" s="1"/>
      <c r="F285" s="1"/>
      <c r="G285" s="1"/>
    </row>
    <row r="286">
      <c r="A286" s="1" t="s">
        <v>103</v>
      </c>
      <c r="B286" s="1" t="s">
        <v>605</v>
      </c>
      <c r="C286" s="1"/>
      <c r="E286" s="1"/>
      <c r="F286" s="1"/>
      <c r="G286" s="1"/>
    </row>
    <row r="287">
      <c r="A287" s="1" t="s">
        <v>3</v>
      </c>
      <c r="B287" s="1" t="s">
        <v>606</v>
      </c>
      <c r="C287" s="1"/>
      <c r="E287" s="1"/>
      <c r="F287" s="1"/>
      <c r="G287" s="1"/>
    </row>
    <row r="288">
      <c r="A288" s="1" t="s">
        <v>7</v>
      </c>
      <c r="B288" s="1" t="s">
        <v>607</v>
      </c>
      <c r="C288" s="1"/>
      <c r="E288" s="1"/>
      <c r="F288" s="1"/>
      <c r="G288" s="1"/>
    </row>
    <row r="289">
      <c r="A289" s="1" t="s">
        <v>9</v>
      </c>
      <c r="B289" s="1" t="s">
        <v>608</v>
      </c>
      <c r="C289" s="1"/>
      <c r="E289" s="1"/>
      <c r="F289" s="1"/>
      <c r="G289" s="1"/>
    </row>
    <row r="290">
      <c r="A290" s="1" t="s">
        <v>11</v>
      </c>
      <c r="B290" s="1" t="s">
        <v>609</v>
      </c>
      <c r="C290" s="1"/>
      <c r="E290" s="1"/>
      <c r="F290" s="1"/>
      <c r="G290" s="1"/>
    </row>
    <row r="291">
      <c r="A291" s="1" t="s">
        <v>13</v>
      </c>
      <c r="B291" s="1" t="s">
        <v>610</v>
      </c>
      <c r="C291" s="1"/>
      <c r="E291" s="1"/>
      <c r="F291" s="1"/>
      <c r="G291" s="1"/>
    </row>
    <row r="292">
      <c r="A292" s="1" t="s">
        <v>104</v>
      </c>
      <c r="B292" s="1" t="s">
        <v>611</v>
      </c>
      <c r="C292" s="1"/>
      <c r="E292" s="1"/>
      <c r="F292" s="1"/>
      <c r="G292" s="1"/>
    </row>
    <row r="293">
      <c r="A293" s="1" t="s">
        <v>3</v>
      </c>
      <c r="B293" s="1" t="s">
        <v>612</v>
      </c>
      <c r="C293" s="1"/>
      <c r="E293" s="1"/>
      <c r="F293" s="1"/>
      <c r="G293" s="1"/>
    </row>
    <row r="294">
      <c r="A294" s="1" t="s">
        <v>7</v>
      </c>
      <c r="B294" s="1" t="s">
        <v>21</v>
      </c>
      <c r="C294" s="1"/>
      <c r="E294" s="1"/>
      <c r="F294" s="1"/>
      <c r="G294" s="1"/>
    </row>
    <row r="295">
      <c r="A295" s="1" t="s">
        <v>9</v>
      </c>
      <c r="B295" s="1" t="s">
        <v>613</v>
      </c>
      <c r="C295" s="1"/>
      <c r="E295" s="1"/>
      <c r="F295" s="1"/>
      <c r="G295" s="1"/>
    </row>
    <row r="296">
      <c r="A296" s="1" t="s">
        <v>11</v>
      </c>
      <c r="B296" s="1" t="s">
        <v>615</v>
      </c>
      <c r="C296" s="1"/>
      <c r="E296" s="1"/>
      <c r="F296" s="1"/>
      <c r="G296" s="1"/>
    </row>
    <row r="297">
      <c r="A297" s="1" t="s">
        <v>13</v>
      </c>
      <c r="B297" s="1" t="s">
        <v>620</v>
      </c>
      <c r="C297" s="1"/>
      <c r="E297" s="1"/>
      <c r="F297" s="1"/>
      <c r="G297" s="1"/>
    </row>
    <row r="298">
      <c r="A298" s="1" t="s">
        <v>107</v>
      </c>
      <c r="B298" s="1" t="s">
        <v>622</v>
      </c>
      <c r="C298" s="1"/>
      <c r="E298" s="1"/>
      <c r="F298" s="1"/>
      <c r="G298" s="1"/>
    </row>
    <row r="299">
      <c r="A299" s="1" t="s">
        <v>3</v>
      </c>
      <c r="B299" s="1" t="s">
        <v>623</v>
      </c>
      <c r="C299" s="1"/>
      <c r="E299" s="1"/>
      <c r="F299" s="1"/>
      <c r="G299" s="1"/>
    </row>
    <row r="300">
      <c r="A300" s="1" t="s">
        <v>7</v>
      </c>
      <c r="B300" s="1" t="s">
        <v>624</v>
      </c>
      <c r="C300" s="1"/>
      <c r="E300" s="1"/>
      <c r="F300" s="1"/>
      <c r="G300" s="1"/>
    </row>
    <row r="301">
      <c r="A301" s="1" t="s">
        <v>9</v>
      </c>
      <c r="B301" s="1" t="s">
        <v>625</v>
      </c>
      <c r="C301" s="1"/>
      <c r="E301" s="1"/>
      <c r="F301" s="1"/>
      <c r="G301" s="1"/>
    </row>
    <row r="302">
      <c r="A302" s="1" t="s">
        <v>11</v>
      </c>
      <c r="B302" s="1" t="s">
        <v>626</v>
      </c>
      <c r="C302" s="1"/>
      <c r="E302" s="1"/>
      <c r="F302" s="1"/>
      <c r="G302" s="1"/>
    </row>
    <row r="303">
      <c r="A303" s="1" t="s">
        <v>13</v>
      </c>
      <c r="B303" s="1" t="s">
        <v>627</v>
      </c>
      <c r="C303" s="1"/>
      <c r="E303" s="1"/>
      <c r="F303" s="1"/>
      <c r="G303" s="1"/>
    </row>
    <row r="304">
      <c r="A304" s="1" t="s">
        <v>108</v>
      </c>
      <c r="B304" s="1" t="s">
        <v>628</v>
      </c>
      <c r="C304" s="1"/>
      <c r="E304" s="1"/>
      <c r="F304" s="1"/>
      <c r="G304" s="1"/>
    </row>
    <row r="305">
      <c r="A305" s="1" t="s">
        <v>3</v>
      </c>
      <c r="B305" s="1" t="s">
        <v>629</v>
      </c>
      <c r="C305" s="1"/>
      <c r="E305" s="1"/>
      <c r="F305" s="1"/>
      <c r="G305" s="1"/>
    </row>
    <row r="306">
      <c r="A306" s="1" t="s">
        <v>7</v>
      </c>
      <c r="B306" s="1" t="s">
        <v>21</v>
      </c>
      <c r="C306" s="1"/>
      <c r="E306" s="1"/>
      <c r="F306" s="1"/>
      <c r="G306" s="1"/>
    </row>
    <row r="307">
      <c r="A307" s="1" t="s">
        <v>9</v>
      </c>
      <c r="B307" s="1" t="s">
        <v>630</v>
      </c>
      <c r="C307" s="1"/>
      <c r="E307" s="1"/>
      <c r="F307" s="1"/>
      <c r="G307" s="1"/>
    </row>
    <row r="308">
      <c r="A308" s="1" t="s">
        <v>11</v>
      </c>
      <c r="B308" s="1" t="s">
        <v>631</v>
      </c>
      <c r="C308" s="1"/>
      <c r="E308" s="1"/>
      <c r="F308" s="1"/>
      <c r="G308" s="1"/>
    </row>
    <row r="309">
      <c r="A309" s="1" t="s">
        <v>13</v>
      </c>
      <c r="B309" s="1" t="s">
        <v>634</v>
      </c>
      <c r="C309" s="1"/>
      <c r="E309" s="1"/>
      <c r="F309" s="1"/>
      <c r="G309" s="1"/>
    </row>
    <row r="310">
      <c r="A310" s="1" t="s">
        <v>636</v>
      </c>
      <c r="B310" s="1" t="s">
        <v>637</v>
      </c>
      <c r="C310" s="1"/>
      <c r="E310" s="1"/>
      <c r="F310" s="1"/>
      <c r="G310" s="1"/>
    </row>
    <row r="311">
      <c r="A311" s="1" t="s">
        <v>3</v>
      </c>
      <c r="B311" s="1" t="s">
        <v>638</v>
      </c>
      <c r="C311" s="1"/>
      <c r="E311" s="1"/>
      <c r="F311" s="1"/>
      <c r="G311" s="1"/>
    </row>
    <row r="312">
      <c r="A312" s="1" t="s">
        <v>7</v>
      </c>
      <c r="B312" s="1" t="s">
        <v>639</v>
      </c>
      <c r="C312" s="1"/>
      <c r="E312" s="1"/>
      <c r="F312" s="1"/>
      <c r="G312" s="1"/>
    </row>
    <row r="313">
      <c r="A313" s="1" t="s">
        <v>156</v>
      </c>
      <c r="B313" s="1" t="s">
        <v>640</v>
      </c>
      <c r="C313" s="1"/>
      <c r="E313" s="1"/>
      <c r="F313" s="1"/>
      <c r="G313" s="1"/>
    </row>
    <row r="314">
      <c r="A314" s="1" t="s">
        <v>110</v>
      </c>
      <c r="B314" s="1" t="s">
        <v>641</v>
      </c>
      <c r="C314" s="1"/>
      <c r="E314" s="1"/>
      <c r="F314" s="1"/>
      <c r="G314" s="1"/>
    </row>
    <row r="315">
      <c r="A315" s="1" t="s">
        <v>3</v>
      </c>
      <c r="B315" s="1" t="s">
        <v>642</v>
      </c>
      <c r="C315" s="1"/>
      <c r="E315" s="1"/>
      <c r="F315" s="1"/>
      <c r="G315" s="1"/>
    </row>
    <row r="316">
      <c r="A316" s="1" t="s">
        <v>7</v>
      </c>
      <c r="B316" s="1" t="s">
        <v>21</v>
      </c>
      <c r="C316" s="1"/>
      <c r="E316" s="1"/>
      <c r="F316" s="1"/>
      <c r="G316" s="1"/>
    </row>
    <row r="317">
      <c r="A317" s="1" t="s">
        <v>9</v>
      </c>
      <c r="B317" s="1" t="s">
        <v>643</v>
      </c>
      <c r="C317" s="1"/>
      <c r="E317" s="1"/>
      <c r="F317" s="1"/>
      <c r="G317" s="1"/>
    </row>
    <row r="318">
      <c r="A318" s="1" t="s">
        <v>11</v>
      </c>
      <c r="B318" s="1" t="s">
        <v>644</v>
      </c>
      <c r="C318" s="1"/>
      <c r="E318" s="1"/>
      <c r="F318" s="1"/>
      <c r="G318" s="1"/>
    </row>
    <row r="319">
      <c r="A319" s="1" t="s">
        <v>13</v>
      </c>
      <c r="B319" s="1" t="s">
        <v>645</v>
      </c>
      <c r="C319" s="1"/>
      <c r="E319" s="1"/>
      <c r="F319" s="1"/>
      <c r="G319" s="1"/>
    </row>
    <row r="320">
      <c r="A320" s="1" t="s">
        <v>649</v>
      </c>
      <c r="B320" s="1" t="s">
        <v>650</v>
      </c>
      <c r="C320" s="1"/>
      <c r="E320" s="1"/>
      <c r="F320" s="1"/>
      <c r="G320" s="1"/>
    </row>
    <row r="321">
      <c r="A321" s="1" t="s">
        <v>3</v>
      </c>
      <c r="B321" s="1" t="s">
        <v>651</v>
      </c>
      <c r="C321" s="1"/>
      <c r="E321" s="1"/>
      <c r="F321" s="1"/>
      <c r="G321" s="1"/>
    </row>
    <row r="322">
      <c r="A322" s="1" t="s">
        <v>7</v>
      </c>
      <c r="B322" s="1" t="s">
        <v>653</v>
      </c>
      <c r="C322" s="1"/>
      <c r="E322" s="1"/>
      <c r="F322" s="1"/>
      <c r="G322" s="1"/>
    </row>
    <row r="323">
      <c r="A323" s="1" t="s">
        <v>9</v>
      </c>
      <c r="B323" s="1" t="s">
        <v>654</v>
      </c>
      <c r="C323" s="1"/>
      <c r="E323" s="1"/>
      <c r="F323" s="1"/>
      <c r="G323" s="1"/>
    </row>
    <row r="324">
      <c r="A324" s="1" t="s">
        <v>11</v>
      </c>
      <c r="B324" s="1" t="s">
        <v>655</v>
      </c>
      <c r="C324" s="1"/>
      <c r="E324" s="1"/>
      <c r="F324" s="1"/>
      <c r="G324" s="1"/>
    </row>
    <row r="325">
      <c r="A325" s="1" t="s">
        <v>156</v>
      </c>
      <c r="B325" s="1" t="s">
        <v>656</v>
      </c>
      <c r="C325" s="1"/>
      <c r="E325" s="1"/>
      <c r="F325" s="1"/>
      <c r="G325" s="1"/>
    </row>
    <row r="326">
      <c r="A326" s="1" t="s">
        <v>112</v>
      </c>
      <c r="B326" s="1" t="s">
        <v>657</v>
      </c>
      <c r="C326" s="1"/>
      <c r="E326" s="1"/>
      <c r="F326" s="1"/>
      <c r="G326" s="1"/>
    </row>
    <row r="327">
      <c r="A327" s="1" t="s">
        <v>3</v>
      </c>
      <c r="B327" s="1" t="s">
        <v>658</v>
      </c>
      <c r="C327" s="1"/>
      <c r="E327" s="1"/>
      <c r="F327" s="1"/>
      <c r="G327" s="1"/>
    </row>
    <row r="328">
      <c r="A328" s="1" t="s">
        <v>7</v>
      </c>
      <c r="B328" s="1" t="s">
        <v>21</v>
      </c>
      <c r="C328" s="1"/>
      <c r="E328" s="1"/>
      <c r="F328" s="1"/>
      <c r="G328" s="1"/>
    </row>
    <row r="329">
      <c r="A329" s="1" t="s">
        <v>9</v>
      </c>
      <c r="B329" s="1" t="s">
        <v>660</v>
      </c>
      <c r="C329" s="1"/>
      <c r="E329" s="1"/>
      <c r="F329" s="1"/>
      <c r="G329" s="1"/>
    </row>
    <row r="330">
      <c r="A330" s="1" t="s">
        <v>11</v>
      </c>
      <c r="B330" s="1" t="s">
        <v>665</v>
      </c>
      <c r="C330" s="1"/>
      <c r="E330" s="1"/>
      <c r="F330" s="1"/>
      <c r="G330" s="1"/>
    </row>
    <row r="331">
      <c r="A331" s="1" t="s">
        <v>13</v>
      </c>
      <c r="B331" s="1" t="s">
        <v>668</v>
      </c>
      <c r="C331" s="1"/>
      <c r="E331" s="1"/>
      <c r="F331" s="1"/>
      <c r="G331" s="1"/>
    </row>
    <row r="332">
      <c r="A332" s="1" t="s">
        <v>114</v>
      </c>
      <c r="B332" s="1" t="s">
        <v>669</v>
      </c>
      <c r="C332" s="1"/>
      <c r="E332" s="1"/>
      <c r="F332" s="1"/>
      <c r="G332" s="1"/>
    </row>
    <row r="333">
      <c r="A333" s="1" t="s">
        <v>3</v>
      </c>
      <c r="B333" s="1" t="s">
        <v>670</v>
      </c>
      <c r="C333" s="1"/>
      <c r="E333" s="1"/>
      <c r="F333" s="1"/>
      <c r="G333" s="1"/>
    </row>
    <row r="334">
      <c r="A334" s="1" t="s">
        <v>7</v>
      </c>
      <c r="B334" s="1" t="s">
        <v>21</v>
      </c>
      <c r="C334" s="1"/>
      <c r="E334" s="1"/>
      <c r="F334" s="1"/>
      <c r="G334" s="1"/>
    </row>
    <row r="335">
      <c r="A335" s="1" t="s">
        <v>9</v>
      </c>
      <c r="B335" s="1" t="s">
        <v>671</v>
      </c>
      <c r="C335" s="1"/>
      <c r="E335" s="1"/>
      <c r="F335" s="1"/>
      <c r="G335" s="1"/>
    </row>
    <row r="336">
      <c r="A336" s="1" t="s">
        <v>11</v>
      </c>
      <c r="B336" s="1" t="s">
        <v>672</v>
      </c>
      <c r="C336" s="1"/>
      <c r="E336" s="1"/>
      <c r="F336" s="1"/>
      <c r="G336" s="1"/>
    </row>
    <row r="337">
      <c r="A337" s="1" t="s">
        <v>13</v>
      </c>
      <c r="B337" s="1" t="s">
        <v>673</v>
      </c>
      <c r="C337" s="1"/>
      <c r="E337" s="1"/>
      <c r="F337" s="1"/>
      <c r="G337" s="1"/>
    </row>
    <row r="338">
      <c r="A338" s="1" t="s">
        <v>674</v>
      </c>
      <c r="B338" s="1">
        <v>49.0</v>
      </c>
      <c r="C338" s="1"/>
      <c r="E338" s="1"/>
      <c r="F338" s="1"/>
      <c r="G338" s="1"/>
    </row>
    <row r="339">
      <c r="A339" s="2" t="s">
        <v>675</v>
      </c>
      <c r="B339" s="2">
        <v>11.0</v>
      </c>
      <c r="E339" s="1"/>
      <c r="F339" s="1"/>
      <c r="G339" s="1"/>
    </row>
    <row r="340">
      <c r="E340" s="1"/>
      <c r="F340" s="1"/>
      <c r="G340" s="1"/>
    </row>
  </sheetData>
  <conditionalFormatting sqref="A1:A1000">
    <cfRule type="cellIs" dxfId="4" priority="1" operator="equal">
      <formula>"ERROR"</formula>
    </cfRule>
  </conditionalFormatting>
  <conditionalFormatting sqref="A1:A1000">
    <cfRule type="cellIs" dxfId="3" priority="2" operator="equal">
      <formula>"GDS saved"</formula>
    </cfRule>
  </conditionalFormatting>
  <conditionalFormatting sqref="A1:A1000">
    <cfRule type="beginsWith" dxfId="5" priority="3" operator="beginsWith" text="A">
      <formula>LEFT((A1),LEN("A"))=("A")</formula>
    </cfRule>
  </conditionalFormatting>
  <conditionalFormatting sqref="A1:A1000">
    <cfRule type="beginsWith" dxfId="5" priority="4" operator="beginsWith" text="B">
      <formula>LEFT((A1),LEN("B"))=("B")</formula>
    </cfRule>
  </conditionalFormatting>
  <conditionalFormatting sqref="A1:A1000">
    <cfRule type="beginsWith" dxfId="5" priority="5" operator="beginsWith" text="C">
      <formula>LEFT((A1),LEN("C"))=("C")</formula>
    </cfRule>
  </conditionalFormatting>
  <conditionalFormatting sqref="A1:A1000">
    <cfRule type="beginsWith" dxfId="5" priority="6" operator="beginsWith" text="D">
      <formula>LEFT((A1),LEN("D"))=("D")</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5"/>
    <col customWidth="1" min="2" max="2" width="29.38"/>
    <col customWidth="1" min="3" max="3" width="8.88"/>
    <col customWidth="1" min="4" max="4" width="8.0"/>
    <col customWidth="1" min="5" max="6" width="6.38"/>
    <col customWidth="1" min="7" max="7" width="9.25"/>
    <col customWidth="1" min="8" max="8" width="28.25"/>
    <col customWidth="1" min="9" max="9" width="8.0"/>
  </cols>
  <sheetData>
    <row r="1">
      <c r="A1" s="4" t="s">
        <v>242</v>
      </c>
      <c r="B1" s="4" t="s">
        <v>245</v>
      </c>
      <c r="C1" s="11" t="s">
        <v>247</v>
      </c>
      <c r="D1" s="4" t="s">
        <v>250</v>
      </c>
      <c r="E1" s="4" t="s">
        <v>23</v>
      </c>
      <c r="F1" s="4" t="s">
        <v>25</v>
      </c>
      <c r="G1" s="13" t="s">
        <v>253</v>
      </c>
      <c r="H1" s="4" t="s">
        <v>254</v>
      </c>
      <c r="I1" s="4" t="s">
        <v>256</v>
      </c>
      <c r="J1" s="14"/>
      <c r="K1" s="14"/>
      <c r="L1" s="14"/>
      <c r="M1" s="14"/>
      <c r="N1" s="14"/>
      <c r="O1" s="14"/>
      <c r="P1" s="14"/>
      <c r="Q1" s="14"/>
      <c r="R1" s="14"/>
      <c r="S1" s="14"/>
      <c r="T1" s="14"/>
      <c r="U1" s="14"/>
      <c r="V1" s="14"/>
      <c r="W1" s="14"/>
      <c r="X1" s="14"/>
      <c r="Y1" s="14"/>
      <c r="Z1" s="14"/>
    </row>
    <row r="2">
      <c r="A2" s="2" t="s">
        <v>260</v>
      </c>
      <c r="B2" s="2" t="s">
        <v>261</v>
      </c>
      <c r="C2" s="16" t="s">
        <v>263</v>
      </c>
      <c r="D2" s="2">
        <v>6.0</v>
      </c>
      <c r="E2" s="2">
        <v>550.0</v>
      </c>
      <c r="F2" s="2">
        <v>550.0</v>
      </c>
      <c r="G2" s="17">
        <f t="shared" ref="G2:G11" si="1">E2*F2</f>
        <v>302500</v>
      </c>
      <c r="I2" s="18">
        <f t="shared" ref="I2:I3" si="2">1/16</f>
        <v>0.0625</v>
      </c>
    </row>
    <row r="3">
      <c r="A3" s="2" t="s">
        <v>276</v>
      </c>
      <c r="B3" s="2" t="s">
        <v>277</v>
      </c>
      <c r="C3" s="16" t="s">
        <v>278</v>
      </c>
      <c r="D3" s="2">
        <v>10.0</v>
      </c>
      <c r="E3" s="2">
        <v>550.0</v>
      </c>
      <c r="F3" s="2">
        <v>550.0</v>
      </c>
      <c r="G3" s="17">
        <f t="shared" si="1"/>
        <v>302500</v>
      </c>
      <c r="I3" s="18">
        <f t="shared" si="2"/>
        <v>0.0625</v>
      </c>
    </row>
    <row r="4">
      <c r="A4" s="2" t="s">
        <v>281</v>
      </c>
      <c r="B4" s="2" t="s">
        <v>261</v>
      </c>
      <c r="C4" s="16" t="s">
        <v>263</v>
      </c>
      <c r="D4" s="2">
        <v>6.0</v>
      </c>
      <c r="E4" s="2">
        <v>1110.0</v>
      </c>
      <c r="F4" s="2">
        <v>550.0</v>
      </c>
      <c r="G4" s="17">
        <f t="shared" si="1"/>
        <v>610500</v>
      </c>
      <c r="I4" s="18">
        <f t="shared" ref="I4:I7" si="3">2/16</f>
        <v>0.125</v>
      </c>
    </row>
    <row r="5">
      <c r="A5" s="2" t="s">
        <v>287</v>
      </c>
      <c r="B5" s="2" t="s">
        <v>288</v>
      </c>
      <c r="C5" s="16" t="s">
        <v>289</v>
      </c>
      <c r="D5" s="2">
        <v>6.0</v>
      </c>
      <c r="E5" s="2">
        <v>550.0</v>
      </c>
      <c r="F5" s="2">
        <v>1110.0</v>
      </c>
      <c r="G5" s="17">
        <f t="shared" si="1"/>
        <v>610500</v>
      </c>
      <c r="I5" s="18">
        <f t="shared" si="3"/>
        <v>0.125</v>
      </c>
    </row>
    <row r="6">
      <c r="A6" s="2" t="s">
        <v>292</v>
      </c>
      <c r="B6" s="2" t="s">
        <v>293</v>
      </c>
      <c r="C6" s="16" t="s">
        <v>263</v>
      </c>
      <c r="D6" s="2">
        <v>16.0</v>
      </c>
      <c r="E6" s="2">
        <v>550.0</v>
      </c>
      <c r="F6" s="2">
        <v>1110.0</v>
      </c>
      <c r="G6" s="17">
        <f t="shared" si="1"/>
        <v>610500</v>
      </c>
      <c r="I6" s="18">
        <f t="shared" si="3"/>
        <v>0.125</v>
      </c>
    </row>
    <row r="7">
      <c r="A7" s="2" t="s">
        <v>296</v>
      </c>
      <c r="B7" s="2" t="s">
        <v>297</v>
      </c>
      <c r="C7" s="16" t="s">
        <v>278</v>
      </c>
      <c r="D7" s="2">
        <v>16.0</v>
      </c>
      <c r="E7" s="2">
        <v>1110.0</v>
      </c>
      <c r="F7" s="2">
        <v>550.0</v>
      </c>
      <c r="G7" s="17">
        <f t="shared" si="1"/>
        <v>610500</v>
      </c>
      <c r="I7" s="18">
        <f t="shared" si="3"/>
        <v>0.125</v>
      </c>
    </row>
    <row r="8">
      <c r="A8" s="2" t="s">
        <v>299</v>
      </c>
      <c r="B8" s="2" t="s">
        <v>300</v>
      </c>
      <c r="C8" s="16" t="s">
        <v>263</v>
      </c>
      <c r="D8" s="2">
        <v>22.0</v>
      </c>
      <c r="E8" s="2">
        <v>1110.0</v>
      </c>
      <c r="F8" s="2">
        <v>1110.0</v>
      </c>
      <c r="G8" s="17">
        <f t="shared" si="1"/>
        <v>1232100</v>
      </c>
      <c r="I8" s="18">
        <f>1/4</f>
        <v>0.25</v>
      </c>
    </row>
    <row r="9">
      <c r="A9" s="2" t="s">
        <v>304</v>
      </c>
      <c r="B9" s="2" t="s">
        <v>306</v>
      </c>
      <c r="C9" s="16" t="s">
        <v>263</v>
      </c>
      <c r="D9" s="2">
        <v>27.0</v>
      </c>
      <c r="E9" s="2">
        <v>1675.0</v>
      </c>
      <c r="F9" s="2">
        <v>1110.0</v>
      </c>
      <c r="G9" s="17">
        <f t="shared" si="1"/>
        <v>1859250</v>
      </c>
      <c r="I9" s="18">
        <f t="shared" ref="I9:I10" si="4">6/16</f>
        <v>0.375</v>
      </c>
    </row>
    <row r="10">
      <c r="A10" s="2" t="s">
        <v>312</v>
      </c>
      <c r="B10" s="2" t="s">
        <v>313</v>
      </c>
      <c r="C10" s="16" t="s">
        <v>314</v>
      </c>
      <c r="D10" s="2">
        <v>27.0</v>
      </c>
      <c r="E10" s="2">
        <v>1110.0</v>
      </c>
      <c r="F10" s="2">
        <v>1675.0</v>
      </c>
      <c r="G10" s="17">
        <f t="shared" si="1"/>
        <v>1859250</v>
      </c>
      <c r="I10" s="18">
        <f t="shared" si="4"/>
        <v>0.375</v>
      </c>
    </row>
    <row r="11">
      <c r="A11" s="2" t="s">
        <v>319</v>
      </c>
      <c r="B11" s="2" t="s">
        <v>320</v>
      </c>
      <c r="C11" s="16" t="s">
        <v>314</v>
      </c>
      <c r="D11" s="2">
        <v>32.0</v>
      </c>
      <c r="E11" s="2">
        <v>1675.0</v>
      </c>
      <c r="F11" s="2">
        <v>1675.0</v>
      </c>
      <c r="G11" s="17">
        <f t="shared" si="1"/>
        <v>2805625</v>
      </c>
      <c r="I11" s="18">
        <f>9/16</f>
        <v>0.5625</v>
      </c>
    </row>
    <row r="12">
      <c r="A12" s="2" t="s">
        <v>326</v>
      </c>
      <c r="B12" s="2" t="s">
        <v>327</v>
      </c>
      <c r="C12" s="16" t="s">
        <v>328</v>
      </c>
      <c r="D12" s="2">
        <v>64.0</v>
      </c>
      <c r="E12" s="2">
        <v>2235.0</v>
      </c>
      <c r="F12" s="2">
        <v>2235.0</v>
      </c>
      <c r="G12" s="17">
        <f>G11*2-G2</f>
        <v>5308750</v>
      </c>
      <c r="H12" s="2" t="s">
        <v>335</v>
      </c>
      <c r="I12" s="18">
        <f>14/16</f>
        <v>0.875</v>
      </c>
    </row>
    <row r="13">
      <c r="C13" s="20"/>
      <c r="G13" s="21"/>
    </row>
    <row r="14">
      <c r="A14" s="22" t="s">
        <v>343</v>
      </c>
      <c r="C14" s="20"/>
      <c r="G14" s="21"/>
    </row>
    <row r="15">
      <c r="C15" s="20"/>
      <c r="G15" s="21"/>
    </row>
    <row r="16">
      <c r="C16" s="20"/>
      <c r="G16" s="21"/>
    </row>
    <row r="17">
      <c r="C17" s="20"/>
      <c r="G17" s="21"/>
    </row>
    <row r="18">
      <c r="C18" s="20"/>
      <c r="G18" s="21"/>
    </row>
    <row r="19">
      <c r="C19" s="20"/>
      <c r="G19" s="21"/>
    </row>
    <row r="20">
      <c r="C20" s="20"/>
      <c r="G20" s="21"/>
    </row>
    <row r="21">
      <c r="C21" s="20"/>
      <c r="G21" s="21"/>
    </row>
    <row r="22">
      <c r="C22" s="20"/>
      <c r="G22" s="21"/>
    </row>
    <row r="23">
      <c r="C23" s="20"/>
      <c r="G23" s="21"/>
    </row>
    <row r="24">
      <c r="C24" s="20"/>
      <c r="G24" s="21"/>
    </row>
    <row r="25">
      <c r="C25" s="20"/>
      <c r="G25" s="21"/>
    </row>
    <row r="26">
      <c r="C26" s="20"/>
      <c r="G26" s="21"/>
    </row>
    <row r="27">
      <c r="C27" s="20"/>
      <c r="G27" s="21"/>
    </row>
    <row r="28">
      <c r="C28" s="20"/>
      <c r="G28" s="21"/>
    </row>
    <row r="29">
      <c r="C29" s="20"/>
      <c r="G29" s="21"/>
    </row>
    <row r="30">
      <c r="C30" s="20"/>
      <c r="G30" s="21"/>
    </row>
    <row r="31">
      <c r="C31" s="20"/>
      <c r="G31" s="21"/>
    </row>
    <row r="32">
      <c r="C32" s="20"/>
      <c r="G32" s="21"/>
    </row>
    <row r="33">
      <c r="C33" s="20"/>
      <c r="G33" s="21"/>
    </row>
    <row r="34">
      <c r="C34" s="20"/>
      <c r="G34" s="21"/>
    </row>
    <row r="35">
      <c r="C35" s="20"/>
      <c r="G35" s="21"/>
    </row>
    <row r="36">
      <c r="C36" s="20"/>
      <c r="G36" s="21"/>
    </row>
    <row r="37">
      <c r="C37" s="20"/>
      <c r="G37" s="21"/>
    </row>
    <row r="38">
      <c r="C38" s="20"/>
      <c r="G38" s="21"/>
    </row>
    <row r="39">
      <c r="C39" s="20"/>
      <c r="G39" s="21"/>
    </row>
    <row r="40">
      <c r="C40" s="20"/>
      <c r="G40" s="21"/>
    </row>
    <row r="41">
      <c r="C41" s="20"/>
      <c r="G41" s="21"/>
    </row>
    <row r="42">
      <c r="C42" s="20"/>
      <c r="G42" s="21"/>
    </row>
    <row r="43">
      <c r="C43" s="20"/>
      <c r="G43" s="21"/>
    </row>
    <row r="44">
      <c r="C44" s="20"/>
      <c r="G44" s="21"/>
    </row>
    <row r="45">
      <c r="C45" s="20"/>
      <c r="G45" s="21"/>
    </row>
    <row r="46">
      <c r="C46" s="20"/>
      <c r="G46" s="21"/>
    </row>
    <row r="47">
      <c r="C47" s="20"/>
      <c r="G47" s="21"/>
    </row>
    <row r="48">
      <c r="C48" s="20"/>
      <c r="G48" s="21"/>
    </row>
    <row r="49">
      <c r="C49" s="20"/>
      <c r="G49" s="21"/>
    </row>
    <row r="50">
      <c r="C50" s="20"/>
      <c r="G50" s="21"/>
    </row>
    <row r="51">
      <c r="C51" s="20"/>
      <c r="G51" s="21"/>
    </row>
    <row r="52">
      <c r="C52" s="20"/>
      <c r="G52" s="21"/>
    </row>
    <row r="53">
      <c r="C53" s="20"/>
      <c r="G53" s="21"/>
    </row>
    <row r="54">
      <c r="C54" s="20"/>
      <c r="G54" s="21"/>
    </row>
    <row r="55">
      <c r="C55" s="20"/>
      <c r="G55" s="21"/>
    </row>
    <row r="56">
      <c r="C56" s="20"/>
      <c r="G56" s="21"/>
    </row>
    <row r="57">
      <c r="C57" s="20"/>
      <c r="G57" s="21"/>
    </row>
    <row r="58">
      <c r="C58" s="20"/>
      <c r="G58" s="21"/>
    </row>
    <row r="59">
      <c r="C59" s="20"/>
      <c r="G59" s="21"/>
    </row>
    <row r="60">
      <c r="C60" s="20"/>
      <c r="G60" s="21"/>
    </row>
    <row r="61">
      <c r="C61" s="20"/>
      <c r="G61" s="21"/>
    </row>
    <row r="62">
      <c r="C62" s="20"/>
      <c r="G62" s="21"/>
    </row>
    <row r="63">
      <c r="C63" s="20"/>
      <c r="G63" s="21"/>
    </row>
    <row r="64">
      <c r="C64" s="20"/>
      <c r="G64" s="21"/>
    </row>
    <row r="65">
      <c r="C65" s="20"/>
      <c r="G65" s="21"/>
    </row>
    <row r="66">
      <c r="C66" s="20"/>
      <c r="G66" s="21"/>
    </row>
    <row r="67">
      <c r="C67" s="20"/>
      <c r="G67" s="21"/>
    </row>
    <row r="68">
      <c r="C68" s="20"/>
      <c r="G68" s="21"/>
    </row>
    <row r="69">
      <c r="C69" s="20"/>
      <c r="G69" s="21"/>
    </row>
    <row r="70">
      <c r="C70" s="20"/>
      <c r="G70" s="21"/>
    </row>
    <row r="71">
      <c r="C71" s="20"/>
      <c r="G71" s="21"/>
    </row>
    <row r="72">
      <c r="C72" s="20"/>
      <c r="G72" s="21"/>
    </row>
    <row r="73">
      <c r="C73" s="20"/>
      <c r="G73" s="21"/>
    </row>
    <row r="74">
      <c r="C74" s="20"/>
      <c r="G74" s="21"/>
    </row>
    <row r="75">
      <c r="C75" s="20"/>
      <c r="G75" s="21"/>
    </row>
    <row r="76">
      <c r="C76" s="20"/>
      <c r="G76" s="21"/>
    </row>
    <row r="77">
      <c r="C77" s="20"/>
      <c r="G77" s="21"/>
    </row>
    <row r="78">
      <c r="C78" s="20"/>
      <c r="G78" s="21"/>
    </row>
    <row r="79">
      <c r="C79" s="20"/>
      <c r="G79" s="21"/>
    </row>
    <row r="80">
      <c r="C80" s="20"/>
      <c r="G80" s="21"/>
    </row>
    <row r="81">
      <c r="C81" s="20"/>
      <c r="G81" s="21"/>
    </row>
    <row r="82">
      <c r="C82" s="20"/>
      <c r="G82" s="21"/>
    </row>
    <row r="83">
      <c r="C83" s="20"/>
      <c r="G83" s="21"/>
    </row>
    <row r="84">
      <c r="C84" s="20"/>
      <c r="G84" s="21"/>
    </row>
    <row r="85">
      <c r="C85" s="20"/>
      <c r="G85" s="21"/>
    </row>
    <row r="86">
      <c r="C86" s="20"/>
      <c r="G86" s="21"/>
    </row>
    <row r="87">
      <c r="C87" s="20"/>
      <c r="G87" s="21"/>
    </row>
    <row r="88">
      <c r="C88" s="20"/>
      <c r="G88" s="21"/>
    </row>
    <row r="89">
      <c r="C89" s="20"/>
      <c r="G89" s="21"/>
    </row>
    <row r="90">
      <c r="C90" s="20"/>
      <c r="G90" s="21"/>
    </row>
    <row r="91">
      <c r="C91" s="20"/>
      <c r="G91" s="21"/>
    </row>
    <row r="92">
      <c r="C92" s="20"/>
      <c r="G92" s="21"/>
    </row>
    <row r="93">
      <c r="C93" s="20"/>
      <c r="G93" s="21"/>
    </row>
    <row r="94">
      <c r="C94" s="20"/>
      <c r="G94" s="21"/>
    </row>
    <row r="95">
      <c r="C95" s="20"/>
      <c r="G95" s="21"/>
    </row>
    <row r="96">
      <c r="C96" s="20"/>
      <c r="G96" s="21"/>
    </row>
    <row r="97">
      <c r="C97" s="20"/>
      <c r="G97" s="21"/>
    </row>
    <row r="98">
      <c r="C98" s="20"/>
      <c r="G98" s="21"/>
    </row>
    <row r="99">
      <c r="C99" s="20"/>
      <c r="G99" s="21"/>
    </row>
    <row r="100">
      <c r="C100" s="20"/>
      <c r="G100" s="21"/>
    </row>
    <row r="101">
      <c r="C101" s="20"/>
      <c r="G101" s="21"/>
    </row>
    <row r="102">
      <c r="C102" s="20"/>
      <c r="G102" s="21"/>
    </row>
    <row r="103">
      <c r="C103" s="20"/>
      <c r="G103" s="21"/>
    </row>
    <row r="104">
      <c r="C104" s="20"/>
      <c r="G104" s="21"/>
    </row>
    <row r="105">
      <c r="C105" s="20"/>
      <c r="G105" s="21"/>
    </row>
    <row r="106">
      <c r="C106" s="20"/>
      <c r="G106" s="21"/>
    </row>
    <row r="107">
      <c r="C107" s="20"/>
      <c r="G107" s="21"/>
    </row>
    <row r="108">
      <c r="C108" s="20"/>
      <c r="G108" s="21"/>
    </row>
    <row r="109">
      <c r="C109" s="20"/>
      <c r="G109" s="21"/>
    </row>
    <row r="110">
      <c r="C110" s="20"/>
      <c r="G110" s="21"/>
    </row>
    <row r="111">
      <c r="C111" s="20"/>
      <c r="G111" s="21"/>
    </row>
    <row r="112">
      <c r="C112" s="20"/>
      <c r="G112" s="21"/>
    </row>
    <row r="113">
      <c r="C113" s="20"/>
      <c r="G113" s="21"/>
    </row>
    <row r="114">
      <c r="C114" s="20"/>
      <c r="G114" s="21"/>
    </row>
    <row r="115">
      <c r="C115" s="20"/>
      <c r="G115" s="21"/>
    </row>
    <row r="116">
      <c r="C116" s="20"/>
      <c r="G116" s="21"/>
    </row>
    <row r="117">
      <c r="C117" s="20"/>
      <c r="G117" s="21"/>
    </row>
    <row r="118">
      <c r="C118" s="20"/>
      <c r="G118" s="21"/>
    </row>
    <row r="119">
      <c r="C119" s="20"/>
      <c r="G119" s="21"/>
    </row>
    <row r="120">
      <c r="C120" s="20"/>
      <c r="G120" s="21"/>
    </row>
    <row r="121">
      <c r="C121" s="20"/>
      <c r="G121" s="21"/>
    </row>
    <row r="122">
      <c r="C122" s="20"/>
      <c r="G122" s="21"/>
    </row>
    <row r="123">
      <c r="C123" s="20"/>
      <c r="G123" s="21"/>
    </row>
    <row r="124">
      <c r="C124" s="20"/>
      <c r="G124" s="21"/>
    </row>
    <row r="125">
      <c r="C125" s="20"/>
      <c r="G125" s="21"/>
    </row>
    <row r="126">
      <c r="C126" s="20"/>
      <c r="G126" s="21"/>
    </row>
    <row r="127">
      <c r="C127" s="20"/>
      <c r="G127" s="21"/>
    </row>
    <row r="128">
      <c r="C128" s="20"/>
      <c r="G128" s="21"/>
    </row>
    <row r="129">
      <c r="C129" s="20"/>
      <c r="G129" s="21"/>
    </row>
    <row r="130">
      <c r="C130" s="20"/>
      <c r="G130" s="21"/>
    </row>
    <row r="131">
      <c r="C131" s="20"/>
      <c r="G131" s="21"/>
    </row>
    <row r="132">
      <c r="C132" s="20"/>
      <c r="G132" s="21"/>
    </row>
    <row r="133">
      <c r="C133" s="20"/>
      <c r="G133" s="21"/>
    </row>
    <row r="134">
      <c r="C134" s="20"/>
      <c r="G134" s="21"/>
    </row>
    <row r="135">
      <c r="C135" s="20"/>
      <c r="G135" s="21"/>
    </row>
    <row r="136">
      <c r="C136" s="20"/>
      <c r="G136" s="21"/>
    </row>
    <row r="137">
      <c r="C137" s="20"/>
      <c r="G137" s="21"/>
    </row>
    <row r="138">
      <c r="C138" s="20"/>
      <c r="G138" s="21"/>
    </row>
    <row r="139">
      <c r="C139" s="20"/>
      <c r="G139" s="21"/>
    </row>
    <row r="140">
      <c r="C140" s="20"/>
      <c r="G140" s="21"/>
    </row>
    <row r="141">
      <c r="C141" s="20"/>
      <c r="G141" s="21"/>
    </row>
    <row r="142">
      <c r="C142" s="20"/>
      <c r="G142" s="21"/>
    </row>
    <row r="143">
      <c r="C143" s="20"/>
      <c r="G143" s="21"/>
    </row>
    <row r="144">
      <c r="C144" s="20"/>
      <c r="G144" s="21"/>
    </row>
    <row r="145">
      <c r="C145" s="20"/>
      <c r="G145" s="21"/>
    </row>
    <row r="146">
      <c r="C146" s="20"/>
      <c r="G146" s="21"/>
    </row>
    <row r="147">
      <c r="C147" s="20"/>
      <c r="G147" s="21"/>
    </row>
    <row r="148">
      <c r="C148" s="20"/>
      <c r="G148" s="21"/>
    </row>
    <row r="149">
      <c r="C149" s="20"/>
      <c r="G149" s="21"/>
    </row>
    <row r="150">
      <c r="C150" s="20"/>
      <c r="G150" s="21"/>
    </row>
    <row r="151">
      <c r="C151" s="20"/>
      <c r="G151" s="21"/>
    </row>
    <row r="152">
      <c r="C152" s="20"/>
      <c r="G152" s="21"/>
    </row>
    <row r="153">
      <c r="C153" s="20"/>
      <c r="G153" s="21"/>
    </row>
    <row r="154">
      <c r="C154" s="20"/>
      <c r="G154" s="21"/>
    </row>
    <row r="155">
      <c r="C155" s="20"/>
      <c r="G155" s="21"/>
    </row>
    <row r="156">
      <c r="C156" s="20"/>
      <c r="G156" s="21"/>
    </row>
    <row r="157">
      <c r="C157" s="20"/>
      <c r="G157" s="21"/>
    </row>
    <row r="158">
      <c r="C158" s="20"/>
      <c r="G158" s="21"/>
    </row>
    <row r="159">
      <c r="C159" s="20"/>
      <c r="G159" s="21"/>
    </row>
    <row r="160">
      <c r="C160" s="20"/>
      <c r="G160" s="21"/>
    </row>
    <row r="161">
      <c r="C161" s="20"/>
      <c r="G161" s="21"/>
    </row>
    <row r="162">
      <c r="C162" s="20"/>
      <c r="G162" s="21"/>
    </row>
    <row r="163">
      <c r="C163" s="20"/>
      <c r="G163" s="21"/>
    </row>
    <row r="164">
      <c r="C164" s="20"/>
      <c r="G164" s="21"/>
    </row>
    <row r="165">
      <c r="C165" s="20"/>
      <c r="G165" s="21"/>
    </row>
    <row r="166">
      <c r="C166" s="20"/>
      <c r="G166" s="21"/>
    </row>
    <row r="167">
      <c r="C167" s="20"/>
      <c r="G167" s="21"/>
    </row>
    <row r="168">
      <c r="C168" s="20"/>
      <c r="G168" s="21"/>
    </row>
    <row r="169">
      <c r="C169" s="20"/>
      <c r="G169" s="21"/>
    </row>
    <row r="170">
      <c r="C170" s="20"/>
      <c r="G170" s="21"/>
    </row>
    <row r="171">
      <c r="C171" s="20"/>
      <c r="G171" s="21"/>
    </row>
    <row r="172">
      <c r="C172" s="20"/>
      <c r="G172" s="21"/>
    </row>
    <row r="173">
      <c r="C173" s="20"/>
      <c r="G173" s="21"/>
    </row>
    <row r="174">
      <c r="C174" s="20"/>
      <c r="G174" s="21"/>
    </row>
    <row r="175">
      <c r="C175" s="20"/>
      <c r="G175" s="21"/>
    </row>
    <row r="176">
      <c r="C176" s="20"/>
      <c r="G176" s="21"/>
    </row>
    <row r="177">
      <c r="C177" s="20"/>
      <c r="G177" s="21"/>
    </row>
    <row r="178">
      <c r="C178" s="20"/>
      <c r="G178" s="21"/>
    </row>
    <row r="179">
      <c r="C179" s="20"/>
      <c r="G179" s="21"/>
    </row>
    <row r="180">
      <c r="C180" s="20"/>
      <c r="G180" s="21"/>
    </row>
    <row r="181">
      <c r="C181" s="20"/>
      <c r="G181" s="21"/>
    </row>
    <row r="182">
      <c r="C182" s="20"/>
      <c r="G182" s="21"/>
    </row>
    <row r="183">
      <c r="C183" s="20"/>
      <c r="G183" s="21"/>
    </row>
    <row r="184">
      <c r="C184" s="20"/>
      <c r="G184" s="21"/>
    </row>
    <row r="185">
      <c r="C185" s="20"/>
      <c r="G185" s="21"/>
    </row>
    <row r="186">
      <c r="C186" s="20"/>
      <c r="G186" s="21"/>
    </row>
    <row r="187">
      <c r="C187" s="20"/>
      <c r="G187" s="21"/>
    </row>
    <row r="188">
      <c r="C188" s="20"/>
      <c r="G188" s="21"/>
    </row>
    <row r="189">
      <c r="C189" s="20"/>
      <c r="G189" s="21"/>
    </row>
    <row r="190">
      <c r="C190" s="20"/>
      <c r="G190" s="21"/>
    </row>
    <row r="191">
      <c r="C191" s="20"/>
      <c r="G191" s="21"/>
    </row>
    <row r="192">
      <c r="C192" s="20"/>
      <c r="G192" s="21"/>
    </row>
    <row r="193">
      <c r="C193" s="20"/>
      <c r="G193" s="21"/>
    </row>
    <row r="194">
      <c r="C194" s="20"/>
      <c r="G194" s="21"/>
    </row>
    <row r="195">
      <c r="C195" s="20"/>
      <c r="G195" s="21"/>
    </row>
    <row r="196">
      <c r="C196" s="20"/>
      <c r="G196" s="21"/>
    </row>
    <row r="197">
      <c r="C197" s="20"/>
      <c r="G197" s="21"/>
    </row>
    <row r="198">
      <c r="C198" s="20"/>
      <c r="G198" s="21"/>
    </row>
    <row r="199">
      <c r="C199" s="20"/>
      <c r="G199" s="21"/>
    </row>
    <row r="200">
      <c r="C200" s="20"/>
      <c r="G200" s="21"/>
    </row>
    <row r="201">
      <c r="C201" s="20"/>
      <c r="G201" s="21"/>
    </row>
    <row r="202">
      <c r="C202" s="20"/>
      <c r="G202" s="21"/>
    </row>
    <row r="203">
      <c r="C203" s="20"/>
      <c r="G203" s="21"/>
    </row>
    <row r="204">
      <c r="C204" s="20"/>
      <c r="G204" s="21"/>
    </row>
    <row r="205">
      <c r="C205" s="20"/>
      <c r="G205" s="21"/>
    </row>
    <row r="206">
      <c r="C206" s="20"/>
      <c r="G206" s="21"/>
    </row>
    <row r="207">
      <c r="C207" s="20"/>
      <c r="G207" s="21"/>
    </row>
    <row r="208">
      <c r="C208" s="20"/>
      <c r="G208" s="21"/>
    </row>
    <row r="209">
      <c r="C209" s="20"/>
      <c r="G209" s="21"/>
    </row>
    <row r="210">
      <c r="C210" s="20"/>
      <c r="G210" s="21"/>
    </row>
    <row r="211">
      <c r="C211" s="20"/>
      <c r="G211" s="21"/>
    </row>
    <row r="212">
      <c r="C212" s="20"/>
      <c r="G212" s="21"/>
    </row>
    <row r="213">
      <c r="C213" s="20"/>
      <c r="G213" s="21"/>
    </row>
    <row r="214">
      <c r="C214" s="20"/>
      <c r="G214" s="21"/>
    </row>
    <row r="215">
      <c r="C215" s="20"/>
      <c r="G215" s="21"/>
    </row>
    <row r="216">
      <c r="C216" s="20"/>
      <c r="G216" s="21"/>
    </row>
    <row r="217">
      <c r="C217" s="20"/>
      <c r="G217" s="21"/>
    </row>
    <row r="218">
      <c r="C218" s="20"/>
      <c r="G218" s="21"/>
    </row>
    <row r="219">
      <c r="C219" s="20"/>
      <c r="G219" s="21"/>
    </row>
    <row r="220">
      <c r="C220" s="20"/>
      <c r="G220" s="21"/>
    </row>
    <row r="221">
      <c r="C221" s="20"/>
      <c r="G221" s="21"/>
    </row>
    <row r="222">
      <c r="C222" s="20"/>
      <c r="G222" s="21"/>
    </row>
    <row r="223">
      <c r="C223" s="20"/>
      <c r="G223" s="21"/>
    </row>
    <row r="224">
      <c r="C224" s="20"/>
      <c r="G224" s="21"/>
    </row>
    <row r="225">
      <c r="C225" s="20"/>
      <c r="G225" s="21"/>
    </row>
    <row r="226">
      <c r="C226" s="20"/>
      <c r="G226" s="21"/>
    </row>
    <row r="227">
      <c r="C227" s="20"/>
      <c r="G227" s="21"/>
    </row>
    <row r="228">
      <c r="C228" s="20"/>
      <c r="G228" s="21"/>
    </row>
    <row r="229">
      <c r="C229" s="20"/>
      <c r="G229" s="21"/>
    </row>
    <row r="230">
      <c r="C230" s="20"/>
      <c r="G230" s="21"/>
    </row>
    <row r="231">
      <c r="C231" s="20"/>
      <c r="G231" s="21"/>
    </row>
    <row r="232">
      <c r="C232" s="20"/>
      <c r="G232" s="21"/>
    </row>
    <row r="233">
      <c r="C233" s="20"/>
      <c r="G233" s="21"/>
    </row>
    <row r="234">
      <c r="C234" s="20"/>
      <c r="G234" s="21"/>
    </row>
    <row r="235">
      <c r="C235" s="20"/>
      <c r="G235" s="21"/>
    </row>
    <row r="236">
      <c r="C236" s="20"/>
      <c r="G236" s="21"/>
    </row>
    <row r="237">
      <c r="C237" s="20"/>
      <c r="G237" s="21"/>
    </row>
    <row r="238">
      <c r="C238" s="20"/>
      <c r="G238" s="21"/>
    </row>
    <row r="239">
      <c r="C239" s="20"/>
      <c r="G239" s="21"/>
    </row>
    <row r="240">
      <c r="C240" s="20"/>
      <c r="G240" s="21"/>
    </row>
    <row r="241">
      <c r="C241" s="20"/>
      <c r="G241" s="21"/>
    </row>
    <row r="242">
      <c r="C242" s="20"/>
      <c r="G242" s="21"/>
    </row>
    <row r="243">
      <c r="C243" s="20"/>
      <c r="G243" s="21"/>
    </row>
    <row r="244">
      <c r="C244" s="20"/>
      <c r="G244" s="21"/>
    </row>
    <row r="245">
      <c r="C245" s="20"/>
      <c r="G245" s="21"/>
    </row>
    <row r="246">
      <c r="C246" s="20"/>
      <c r="G246" s="21"/>
    </row>
    <row r="247">
      <c r="C247" s="20"/>
      <c r="G247" s="21"/>
    </row>
    <row r="248">
      <c r="C248" s="20"/>
      <c r="G248" s="21"/>
    </row>
    <row r="249">
      <c r="C249" s="20"/>
      <c r="G249" s="21"/>
    </row>
    <row r="250">
      <c r="C250" s="20"/>
      <c r="G250" s="21"/>
    </row>
    <row r="251">
      <c r="C251" s="20"/>
      <c r="G251" s="21"/>
    </row>
    <row r="252">
      <c r="C252" s="20"/>
      <c r="G252" s="21"/>
    </row>
    <row r="253">
      <c r="C253" s="20"/>
      <c r="G253" s="21"/>
    </row>
    <row r="254">
      <c r="C254" s="20"/>
      <c r="G254" s="21"/>
    </row>
    <row r="255">
      <c r="C255" s="20"/>
      <c r="G255" s="21"/>
    </row>
    <row r="256">
      <c r="C256" s="20"/>
      <c r="G256" s="21"/>
    </row>
    <row r="257">
      <c r="C257" s="20"/>
      <c r="G257" s="21"/>
    </row>
    <row r="258">
      <c r="C258" s="20"/>
      <c r="G258" s="21"/>
    </row>
    <row r="259">
      <c r="C259" s="20"/>
      <c r="G259" s="21"/>
    </row>
    <row r="260">
      <c r="C260" s="20"/>
      <c r="G260" s="21"/>
    </row>
    <row r="261">
      <c r="C261" s="20"/>
      <c r="G261" s="21"/>
    </row>
    <row r="262">
      <c r="C262" s="20"/>
      <c r="G262" s="21"/>
    </row>
    <row r="263">
      <c r="C263" s="20"/>
      <c r="G263" s="21"/>
    </row>
    <row r="264">
      <c r="C264" s="20"/>
      <c r="G264" s="21"/>
    </row>
    <row r="265">
      <c r="C265" s="20"/>
      <c r="G265" s="21"/>
    </row>
    <row r="266">
      <c r="C266" s="20"/>
      <c r="G266" s="21"/>
    </row>
    <row r="267">
      <c r="C267" s="20"/>
      <c r="G267" s="21"/>
    </row>
    <row r="268">
      <c r="C268" s="20"/>
      <c r="G268" s="21"/>
    </row>
    <row r="269">
      <c r="C269" s="20"/>
      <c r="G269" s="21"/>
    </row>
    <row r="270">
      <c r="C270" s="20"/>
      <c r="G270" s="21"/>
    </row>
    <row r="271">
      <c r="C271" s="20"/>
      <c r="G271" s="21"/>
    </row>
    <row r="272">
      <c r="C272" s="20"/>
      <c r="G272" s="21"/>
    </row>
    <row r="273">
      <c r="C273" s="20"/>
      <c r="G273" s="21"/>
    </row>
    <row r="274">
      <c r="C274" s="20"/>
      <c r="G274" s="21"/>
    </row>
    <row r="275">
      <c r="C275" s="20"/>
      <c r="G275" s="21"/>
    </row>
    <row r="276">
      <c r="C276" s="20"/>
      <c r="G276" s="21"/>
    </row>
    <row r="277">
      <c r="C277" s="20"/>
      <c r="G277" s="21"/>
    </row>
    <row r="278">
      <c r="C278" s="20"/>
      <c r="G278" s="21"/>
    </row>
    <row r="279">
      <c r="C279" s="20"/>
      <c r="G279" s="21"/>
    </row>
    <row r="280">
      <c r="C280" s="20"/>
      <c r="G280" s="21"/>
    </row>
    <row r="281">
      <c r="C281" s="20"/>
      <c r="G281" s="21"/>
    </row>
    <row r="282">
      <c r="C282" s="20"/>
      <c r="G282" s="21"/>
    </row>
    <row r="283">
      <c r="C283" s="20"/>
      <c r="G283" s="21"/>
    </row>
    <row r="284">
      <c r="C284" s="20"/>
      <c r="G284" s="21"/>
    </row>
    <row r="285">
      <c r="C285" s="20"/>
      <c r="G285" s="21"/>
    </row>
    <row r="286">
      <c r="C286" s="20"/>
      <c r="G286" s="21"/>
    </row>
    <row r="287">
      <c r="C287" s="20"/>
      <c r="G287" s="21"/>
    </row>
    <row r="288">
      <c r="C288" s="20"/>
      <c r="G288" s="21"/>
    </row>
    <row r="289">
      <c r="C289" s="20"/>
      <c r="G289" s="21"/>
    </row>
    <row r="290">
      <c r="C290" s="20"/>
      <c r="G290" s="21"/>
    </row>
    <row r="291">
      <c r="C291" s="20"/>
      <c r="G291" s="21"/>
    </row>
    <row r="292">
      <c r="C292" s="20"/>
      <c r="G292" s="21"/>
    </row>
    <row r="293">
      <c r="C293" s="20"/>
      <c r="G293" s="21"/>
    </row>
    <row r="294">
      <c r="C294" s="20"/>
      <c r="G294" s="21"/>
    </row>
    <row r="295">
      <c r="C295" s="20"/>
      <c r="G295" s="21"/>
    </row>
    <row r="296">
      <c r="C296" s="20"/>
      <c r="G296" s="21"/>
    </row>
    <row r="297">
      <c r="C297" s="20"/>
      <c r="G297" s="21"/>
    </row>
    <row r="298">
      <c r="C298" s="20"/>
      <c r="G298" s="21"/>
    </row>
    <row r="299">
      <c r="C299" s="20"/>
      <c r="G299" s="21"/>
    </row>
    <row r="300">
      <c r="C300" s="20"/>
      <c r="G300" s="21"/>
    </row>
    <row r="301">
      <c r="C301" s="20"/>
      <c r="G301" s="21"/>
    </row>
    <row r="302">
      <c r="C302" s="20"/>
      <c r="G302" s="21"/>
    </row>
    <row r="303">
      <c r="C303" s="20"/>
      <c r="G303" s="21"/>
    </row>
    <row r="304">
      <c r="C304" s="20"/>
      <c r="G304" s="21"/>
    </row>
    <row r="305">
      <c r="C305" s="20"/>
      <c r="G305" s="21"/>
    </row>
    <row r="306">
      <c r="C306" s="20"/>
      <c r="G306" s="21"/>
    </row>
    <row r="307">
      <c r="C307" s="20"/>
      <c r="G307" s="21"/>
    </row>
    <row r="308">
      <c r="C308" s="20"/>
      <c r="G308" s="21"/>
    </row>
    <row r="309">
      <c r="C309" s="20"/>
      <c r="G309" s="21"/>
    </row>
    <row r="310">
      <c r="C310" s="20"/>
      <c r="G310" s="21"/>
    </row>
    <row r="311">
      <c r="C311" s="20"/>
      <c r="G311" s="21"/>
    </row>
    <row r="312">
      <c r="C312" s="20"/>
      <c r="G312" s="21"/>
    </row>
    <row r="313">
      <c r="C313" s="20"/>
      <c r="G313" s="21"/>
    </row>
    <row r="314">
      <c r="C314" s="20"/>
      <c r="G314" s="21"/>
    </row>
    <row r="315">
      <c r="C315" s="20"/>
      <c r="G315" s="21"/>
    </row>
    <row r="316">
      <c r="C316" s="20"/>
      <c r="G316" s="21"/>
    </row>
    <row r="317">
      <c r="C317" s="20"/>
      <c r="G317" s="21"/>
    </row>
    <row r="318">
      <c r="C318" s="20"/>
      <c r="G318" s="21"/>
    </row>
    <row r="319">
      <c r="C319" s="20"/>
      <c r="G319" s="21"/>
    </row>
    <row r="320">
      <c r="C320" s="20"/>
      <c r="G320" s="21"/>
    </row>
    <row r="321">
      <c r="C321" s="20"/>
      <c r="G321" s="21"/>
    </row>
    <row r="322">
      <c r="C322" s="20"/>
      <c r="G322" s="21"/>
    </row>
    <row r="323">
      <c r="C323" s="20"/>
      <c r="G323" s="21"/>
    </row>
    <row r="324">
      <c r="C324" s="20"/>
      <c r="G324" s="21"/>
    </row>
    <row r="325">
      <c r="C325" s="20"/>
      <c r="G325" s="21"/>
    </row>
    <row r="326">
      <c r="C326" s="20"/>
      <c r="G326" s="21"/>
    </row>
    <row r="327">
      <c r="C327" s="20"/>
      <c r="G327" s="21"/>
    </row>
    <row r="328">
      <c r="C328" s="20"/>
      <c r="G328" s="21"/>
    </row>
    <row r="329">
      <c r="C329" s="20"/>
      <c r="G329" s="21"/>
    </row>
    <row r="330">
      <c r="C330" s="20"/>
      <c r="G330" s="21"/>
    </row>
    <row r="331">
      <c r="C331" s="20"/>
      <c r="G331" s="21"/>
    </row>
    <row r="332">
      <c r="C332" s="20"/>
      <c r="G332" s="21"/>
    </row>
    <row r="333">
      <c r="C333" s="20"/>
      <c r="G333" s="21"/>
    </row>
    <row r="334">
      <c r="C334" s="20"/>
      <c r="G334" s="21"/>
    </row>
    <row r="335">
      <c r="C335" s="20"/>
      <c r="G335" s="21"/>
    </row>
    <row r="336">
      <c r="C336" s="20"/>
      <c r="G336" s="21"/>
    </row>
    <row r="337">
      <c r="C337" s="20"/>
      <c r="G337" s="21"/>
    </row>
    <row r="338">
      <c r="C338" s="20"/>
      <c r="G338" s="21"/>
    </row>
    <row r="339">
      <c r="C339" s="20"/>
      <c r="G339" s="21"/>
    </row>
    <row r="340">
      <c r="C340" s="20"/>
      <c r="G340" s="21"/>
    </row>
    <row r="341">
      <c r="C341" s="20"/>
      <c r="G341" s="21"/>
    </row>
    <row r="342">
      <c r="C342" s="20"/>
      <c r="G342" s="21"/>
    </row>
    <row r="343">
      <c r="C343" s="20"/>
      <c r="G343" s="21"/>
    </row>
    <row r="344">
      <c r="C344" s="20"/>
      <c r="G344" s="21"/>
    </row>
    <row r="345">
      <c r="C345" s="20"/>
      <c r="G345" s="21"/>
    </row>
    <row r="346">
      <c r="C346" s="20"/>
      <c r="G346" s="21"/>
    </row>
    <row r="347">
      <c r="C347" s="20"/>
      <c r="G347" s="21"/>
    </row>
    <row r="348">
      <c r="C348" s="20"/>
      <c r="G348" s="21"/>
    </row>
    <row r="349">
      <c r="C349" s="20"/>
      <c r="G349" s="21"/>
    </row>
    <row r="350">
      <c r="C350" s="20"/>
      <c r="G350" s="21"/>
    </row>
    <row r="351">
      <c r="C351" s="20"/>
      <c r="G351" s="21"/>
    </row>
    <row r="352">
      <c r="C352" s="20"/>
      <c r="G352" s="21"/>
    </row>
    <row r="353">
      <c r="C353" s="20"/>
      <c r="G353" s="21"/>
    </row>
    <row r="354">
      <c r="C354" s="20"/>
      <c r="G354" s="21"/>
    </row>
    <row r="355">
      <c r="C355" s="20"/>
      <c r="G355" s="21"/>
    </row>
    <row r="356">
      <c r="C356" s="20"/>
      <c r="G356" s="21"/>
    </row>
    <row r="357">
      <c r="C357" s="20"/>
      <c r="G357" s="21"/>
    </row>
    <row r="358">
      <c r="C358" s="20"/>
      <c r="G358" s="21"/>
    </row>
    <row r="359">
      <c r="C359" s="20"/>
      <c r="G359" s="21"/>
    </row>
    <row r="360">
      <c r="C360" s="20"/>
      <c r="G360" s="21"/>
    </row>
    <row r="361">
      <c r="C361" s="20"/>
      <c r="G361" s="21"/>
    </row>
    <row r="362">
      <c r="C362" s="20"/>
      <c r="G362" s="21"/>
    </row>
    <row r="363">
      <c r="C363" s="20"/>
      <c r="G363" s="21"/>
    </row>
    <row r="364">
      <c r="C364" s="20"/>
      <c r="G364" s="21"/>
    </row>
    <row r="365">
      <c r="C365" s="20"/>
      <c r="G365" s="21"/>
    </row>
    <row r="366">
      <c r="C366" s="20"/>
      <c r="G366" s="21"/>
    </row>
    <row r="367">
      <c r="C367" s="20"/>
      <c r="G367" s="21"/>
    </row>
    <row r="368">
      <c r="C368" s="20"/>
      <c r="G368" s="21"/>
    </row>
    <row r="369">
      <c r="C369" s="20"/>
      <c r="G369" s="21"/>
    </row>
    <row r="370">
      <c r="C370" s="20"/>
      <c r="G370" s="21"/>
    </row>
    <row r="371">
      <c r="C371" s="20"/>
      <c r="G371" s="21"/>
    </row>
    <row r="372">
      <c r="C372" s="20"/>
      <c r="G372" s="21"/>
    </row>
    <row r="373">
      <c r="C373" s="20"/>
      <c r="G373" s="21"/>
    </row>
    <row r="374">
      <c r="C374" s="20"/>
      <c r="G374" s="21"/>
    </row>
    <row r="375">
      <c r="C375" s="20"/>
      <c r="G375" s="21"/>
    </row>
    <row r="376">
      <c r="C376" s="20"/>
      <c r="G376" s="21"/>
    </row>
    <row r="377">
      <c r="C377" s="20"/>
      <c r="G377" s="21"/>
    </row>
    <row r="378">
      <c r="C378" s="20"/>
      <c r="G378" s="21"/>
    </row>
    <row r="379">
      <c r="C379" s="20"/>
      <c r="G379" s="21"/>
    </row>
    <row r="380">
      <c r="C380" s="20"/>
      <c r="G380" s="21"/>
    </row>
    <row r="381">
      <c r="C381" s="20"/>
      <c r="G381" s="21"/>
    </row>
    <row r="382">
      <c r="C382" s="20"/>
      <c r="G382" s="21"/>
    </row>
    <row r="383">
      <c r="C383" s="20"/>
      <c r="G383" s="21"/>
    </row>
    <row r="384">
      <c r="C384" s="20"/>
      <c r="G384" s="21"/>
    </row>
    <row r="385">
      <c r="C385" s="20"/>
      <c r="G385" s="21"/>
    </row>
    <row r="386">
      <c r="C386" s="20"/>
      <c r="G386" s="21"/>
    </row>
    <row r="387">
      <c r="C387" s="20"/>
      <c r="G387" s="21"/>
    </row>
    <row r="388">
      <c r="C388" s="20"/>
      <c r="G388" s="21"/>
    </row>
    <row r="389">
      <c r="C389" s="20"/>
      <c r="G389" s="21"/>
    </row>
    <row r="390">
      <c r="C390" s="20"/>
      <c r="G390" s="21"/>
    </row>
    <row r="391">
      <c r="C391" s="20"/>
      <c r="G391" s="21"/>
    </row>
    <row r="392">
      <c r="C392" s="20"/>
      <c r="G392" s="21"/>
    </row>
    <row r="393">
      <c r="C393" s="20"/>
      <c r="G393" s="21"/>
    </row>
    <row r="394">
      <c r="C394" s="20"/>
      <c r="G394" s="21"/>
    </row>
    <row r="395">
      <c r="C395" s="20"/>
      <c r="G395" s="21"/>
    </row>
    <row r="396">
      <c r="C396" s="20"/>
      <c r="G396" s="21"/>
    </row>
    <row r="397">
      <c r="C397" s="20"/>
      <c r="G397" s="21"/>
    </row>
    <row r="398">
      <c r="C398" s="20"/>
      <c r="G398" s="21"/>
    </row>
    <row r="399">
      <c r="C399" s="20"/>
      <c r="G399" s="21"/>
    </row>
    <row r="400">
      <c r="C400" s="20"/>
      <c r="G400" s="21"/>
    </row>
    <row r="401">
      <c r="C401" s="20"/>
      <c r="G401" s="21"/>
    </row>
    <row r="402">
      <c r="C402" s="20"/>
      <c r="G402" s="21"/>
    </row>
    <row r="403">
      <c r="C403" s="20"/>
      <c r="G403" s="21"/>
    </row>
    <row r="404">
      <c r="C404" s="20"/>
      <c r="G404" s="21"/>
    </row>
    <row r="405">
      <c r="C405" s="20"/>
      <c r="G405" s="21"/>
    </row>
    <row r="406">
      <c r="C406" s="20"/>
      <c r="G406" s="21"/>
    </row>
    <row r="407">
      <c r="C407" s="20"/>
      <c r="G407" s="21"/>
    </row>
    <row r="408">
      <c r="C408" s="20"/>
      <c r="G408" s="21"/>
    </row>
    <row r="409">
      <c r="C409" s="20"/>
      <c r="G409" s="21"/>
    </row>
    <row r="410">
      <c r="C410" s="20"/>
      <c r="G410" s="21"/>
    </row>
    <row r="411">
      <c r="C411" s="20"/>
      <c r="G411" s="21"/>
    </row>
    <row r="412">
      <c r="C412" s="20"/>
      <c r="G412" s="21"/>
    </row>
    <row r="413">
      <c r="C413" s="20"/>
      <c r="G413" s="21"/>
    </row>
    <row r="414">
      <c r="C414" s="20"/>
      <c r="G414" s="21"/>
    </row>
    <row r="415">
      <c r="C415" s="20"/>
      <c r="G415" s="21"/>
    </row>
    <row r="416">
      <c r="C416" s="20"/>
      <c r="G416" s="21"/>
    </row>
    <row r="417">
      <c r="C417" s="20"/>
      <c r="G417" s="21"/>
    </row>
    <row r="418">
      <c r="C418" s="20"/>
      <c r="G418" s="21"/>
    </row>
    <row r="419">
      <c r="C419" s="20"/>
      <c r="G419" s="21"/>
    </row>
    <row r="420">
      <c r="C420" s="20"/>
      <c r="G420" s="21"/>
    </row>
    <row r="421">
      <c r="C421" s="20"/>
      <c r="G421" s="21"/>
    </row>
    <row r="422">
      <c r="C422" s="20"/>
      <c r="G422" s="21"/>
    </row>
    <row r="423">
      <c r="C423" s="20"/>
      <c r="G423" s="21"/>
    </row>
    <row r="424">
      <c r="C424" s="20"/>
      <c r="G424" s="21"/>
    </row>
    <row r="425">
      <c r="C425" s="20"/>
      <c r="G425" s="21"/>
    </row>
    <row r="426">
      <c r="C426" s="20"/>
      <c r="G426" s="21"/>
    </row>
    <row r="427">
      <c r="C427" s="20"/>
      <c r="G427" s="21"/>
    </row>
    <row r="428">
      <c r="C428" s="20"/>
      <c r="G428" s="21"/>
    </row>
    <row r="429">
      <c r="C429" s="20"/>
      <c r="G429" s="21"/>
    </row>
    <row r="430">
      <c r="C430" s="20"/>
      <c r="G430" s="21"/>
    </row>
    <row r="431">
      <c r="C431" s="20"/>
      <c r="G431" s="21"/>
    </row>
    <row r="432">
      <c r="C432" s="20"/>
      <c r="G432" s="21"/>
    </row>
    <row r="433">
      <c r="C433" s="20"/>
      <c r="G433" s="21"/>
    </row>
    <row r="434">
      <c r="C434" s="20"/>
      <c r="G434" s="21"/>
    </row>
    <row r="435">
      <c r="C435" s="20"/>
      <c r="G435" s="21"/>
    </row>
    <row r="436">
      <c r="C436" s="20"/>
      <c r="G436" s="21"/>
    </row>
    <row r="437">
      <c r="C437" s="20"/>
      <c r="G437" s="21"/>
    </row>
    <row r="438">
      <c r="C438" s="20"/>
      <c r="G438" s="21"/>
    </row>
    <row r="439">
      <c r="C439" s="20"/>
      <c r="G439" s="21"/>
    </row>
    <row r="440">
      <c r="C440" s="20"/>
      <c r="G440" s="21"/>
    </row>
    <row r="441">
      <c r="C441" s="20"/>
      <c r="G441" s="21"/>
    </row>
    <row r="442">
      <c r="C442" s="20"/>
      <c r="G442" s="21"/>
    </row>
    <row r="443">
      <c r="C443" s="20"/>
      <c r="G443" s="21"/>
    </row>
    <row r="444">
      <c r="C444" s="20"/>
      <c r="G444" s="21"/>
    </row>
    <row r="445">
      <c r="C445" s="20"/>
      <c r="G445" s="21"/>
    </row>
    <row r="446">
      <c r="C446" s="20"/>
      <c r="G446" s="21"/>
    </row>
    <row r="447">
      <c r="C447" s="20"/>
      <c r="G447" s="21"/>
    </row>
    <row r="448">
      <c r="C448" s="20"/>
      <c r="G448" s="21"/>
    </row>
    <row r="449">
      <c r="C449" s="20"/>
      <c r="G449" s="21"/>
    </row>
    <row r="450">
      <c r="C450" s="20"/>
      <c r="G450" s="21"/>
    </row>
    <row r="451">
      <c r="C451" s="20"/>
      <c r="G451" s="21"/>
    </row>
    <row r="452">
      <c r="C452" s="20"/>
      <c r="G452" s="21"/>
    </row>
    <row r="453">
      <c r="C453" s="20"/>
      <c r="G453" s="21"/>
    </row>
    <row r="454">
      <c r="C454" s="20"/>
      <c r="G454" s="21"/>
    </row>
    <row r="455">
      <c r="C455" s="20"/>
      <c r="G455" s="21"/>
    </row>
    <row r="456">
      <c r="C456" s="20"/>
      <c r="G456" s="21"/>
    </row>
    <row r="457">
      <c r="C457" s="20"/>
      <c r="G457" s="21"/>
    </row>
    <row r="458">
      <c r="C458" s="20"/>
      <c r="G458" s="21"/>
    </row>
    <row r="459">
      <c r="C459" s="20"/>
      <c r="G459" s="21"/>
    </row>
    <row r="460">
      <c r="C460" s="20"/>
      <c r="G460" s="21"/>
    </row>
    <row r="461">
      <c r="C461" s="20"/>
      <c r="G461" s="21"/>
    </row>
    <row r="462">
      <c r="C462" s="20"/>
      <c r="G462" s="21"/>
    </row>
    <row r="463">
      <c r="C463" s="20"/>
      <c r="G463" s="21"/>
    </row>
    <row r="464">
      <c r="C464" s="20"/>
      <c r="G464" s="21"/>
    </row>
    <row r="465">
      <c r="C465" s="20"/>
      <c r="G465" s="21"/>
    </row>
    <row r="466">
      <c r="C466" s="20"/>
      <c r="G466" s="21"/>
    </row>
    <row r="467">
      <c r="C467" s="20"/>
      <c r="G467" s="21"/>
    </row>
    <row r="468">
      <c r="C468" s="20"/>
      <c r="G468" s="21"/>
    </row>
    <row r="469">
      <c r="C469" s="20"/>
      <c r="G469" s="21"/>
    </row>
    <row r="470">
      <c r="C470" s="20"/>
      <c r="G470" s="21"/>
    </row>
    <row r="471">
      <c r="C471" s="20"/>
      <c r="G471" s="21"/>
    </row>
    <row r="472">
      <c r="C472" s="20"/>
      <c r="G472" s="21"/>
    </row>
    <row r="473">
      <c r="C473" s="20"/>
      <c r="G473" s="21"/>
    </row>
    <row r="474">
      <c r="C474" s="20"/>
      <c r="G474" s="21"/>
    </row>
    <row r="475">
      <c r="C475" s="20"/>
      <c r="G475" s="21"/>
    </row>
    <row r="476">
      <c r="C476" s="20"/>
      <c r="G476" s="21"/>
    </row>
    <row r="477">
      <c r="C477" s="20"/>
      <c r="G477" s="21"/>
    </row>
    <row r="478">
      <c r="C478" s="20"/>
      <c r="G478" s="21"/>
    </row>
    <row r="479">
      <c r="C479" s="20"/>
      <c r="G479" s="21"/>
    </row>
    <row r="480">
      <c r="C480" s="20"/>
      <c r="G480" s="21"/>
    </row>
    <row r="481">
      <c r="C481" s="20"/>
      <c r="G481" s="21"/>
    </row>
    <row r="482">
      <c r="C482" s="20"/>
      <c r="G482" s="21"/>
    </row>
    <row r="483">
      <c r="C483" s="20"/>
      <c r="G483" s="21"/>
    </row>
    <row r="484">
      <c r="C484" s="20"/>
      <c r="G484" s="21"/>
    </row>
    <row r="485">
      <c r="C485" s="20"/>
      <c r="G485" s="21"/>
    </row>
    <row r="486">
      <c r="C486" s="20"/>
      <c r="G486" s="21"/>
    </row>
    <row r="487">
      <c r="C487" s="20"/>
      <c r="G487" s="21"/>
    </row>
    <row r="488">
      <c r="C488" s="20"/>
      <c r="G488" s="21"/>
    </row>
    <row r="489">
      <c r="C489" s="20"/>
      <c r="G489" s="21"/>
    </row>
    <row r="490">
      <c r="C490" s="20"/>
      <c r="G490" s="21"/>
    </row>
    <row r="491">
      <c r="C491" s="20"/>
      <c r="G491" s="21"/>
    </row>
    <row r="492">
      <c r="C492" s="20"/>
      <c r="G492" s="21"/>
    </row>
    <row r="493">
      <c r="C493" s="20"/>
      <c r="G493" s="21"/>
    </row>
    <row r="494">
      <c r="C494" s="20"/>
      <c r="G494" s="21"/>
    </row>
    <row r="495">
      <c r="C495" s="20"/>
      <c r="G495" s="21"/>
    </row>
    <row r="496">
      <c r="C496" s="20"/>
      <c r="G496" s="21"/>
    </row>
    <row r="497">
      <c r="C497" s="20"/>
      <c r="G497" s="21"/>
    </row>
    <row r="498">
      <c r="C498" s="20"/>
      <c r="G498" s="21"/>
    </row>
    <row r="499">
      <c r="C499" s="20"/>
      <c r="G499" s="21"/>
    </row>
    <row r="500">
      <c r="C500" s="20"/>
      <c r="G500" s="21"/>
    </row>
    <row r="501">
      <c r="C501" s="20"/>
      <c r="G501" s="21"/>
    </row>
    <row r="502">
      <c r="C502" s="20"/>
      <c r="G502" s="21"/>
    </row>
    <row r="503">
      <c r="C503" s="20"/>
      <c r="G503" s="21"/>
    </row>
    <row r="504">
      <c r="C504" s="20"/>
      <c r="G504" s="21"/>
    </row>
    <row r="505">
      <c r="C505" s="20"/>
      <c r="G505" s="21"/>
    </row>
    <row r="506">
      <c r="C506" s="20"/>
      <c r="G506" s="21"/>
    </row>
    <row r="507">
      <c r="C507" s="20"/>
      <c r="G507" s="21"/>
    </row>
    <row r="508">
      <c r="C508" s="20"/>
      <c r="G508" s="21"/>
    </row>
    <row r="509">
      <c r="C509" s="20"/>
      <c r="G509" s="21"/>
    </row>
    <row r="510">
      <c r="C510" s="20"/>
      <c r="G510" s="21"/>
    </row>
    <row r="511">
      <c r="C511" s="20"/>
      <c r="G511" s="21"/>
    </row>
    <row r="512">
      <c r="C512" s="20"/>
      <c r="G512" s="21"/>
    </row>
    <row r="513">
      <c r="C513" s="20"/>
      <c r="G513" s="21"/>
    </row>
    <row r="514">
      <c r="C514" s="20"/>
      <c r="G514" s="21"/>
    </row>
    <row r="515">
      <c r="C515" s="20"/>
      <c r="G515" s="21"/>
    </row>
    <row r="516">
      <c r="C516" s="20"/>
      <c r="G516" s="21"/>
    </row>
    <row r="517">
      <c r="C517" s="20"/>
      <c r="G517" s="21"/>
    </row>
    <row r="518">
      <c r="C518" s="20"/>
      <c r="G518" s="21"/>
    </row>
    <row r="519">
      <c r="C519" s="20"/>
      <c r="G519" s="21"/>
    </row>
    <row r="520">
      <c r="C520" s="20"/>
      <c r="G520" s="21"/>
    </row>
    <row r="521">
      <c r="C521" s="20"/>
      <c r="G521" s="21"/>
    </row>
    <row r="522">
      <c r="C522" s="20"/>
      <c r="G522" s="21"/>
    </row>
    <row r="523">
      <c r="C523" s="20"/>
      <c r="G523" s="21"/>
    </row>
    <row r="524">
      <c r="C524" s="20"/>
      <c r="G524" s="21"/>
    </row>
    <row r="525">
      <c r="C525" s="20"/>
      <c r="G525" s="21"/>
    </row>
    <row r="526">
      <c r="C526" s="20"/>
      <c r="G526" s="21"/>
    </row>
    <row r="527">
      <c r="C527" s="20"/>
      <c r="G527" s="21"/>
    </row>
    <row r="528">
      <c r="C528" s="20"/>
      <c r="G528" s="21"/>
    </row>
    <row r="529">
      <c r="C529" s="20"/>
      <c r="G529" s="21"/>
    </row>
    <row r="530">
      <c r="C530" s="20"/>
      <c r="G530" s="21"/>
    </row>
    <row r="531">
      <c r="C531" s="20"/>
      <c r="G531" s="21"/>
    </row>
    <row r="532">
      <c r="C532" s="20"/>
      <c r="G532" s="21"/>
    </row>
    <row r="533">
      <c r="C533" s="20"/>
      <c r="G533" s="21"/>
    </row>
    <row r="534">
      <c r="C534" s="20"/>
      <c r="G534" s="21"/>
    </row>
    <row r="535">
      <c r="C535" s="20"/>
      <c r="G535" s="21"/>
    </row>
    <row r="536">
      <c r="C536" s="20"/>
      <c r="G536" s="21"/>
    </row>
    <row r="537">
      <c r="C537" s="20"/>
      <c r="G537" s="21"/>
    </row>
    <row r="538">
      <c r="C538" s="20"/>
      <c r="G538" s="21"/>
    </row>
    <row r="539">
      <c r="C539" s="20"/>
      <c r="G539" s="21"/>
    </row>
    <row r="540">
      <c r="C540" s="20"/>
      <c r="G540" s="21"/>
    </row>
    <row r="541">
      <c r="C541" s="20"/>
      <c r="G541" s="21"/>
    </row>
    <row r="542">
      <c r="C542" s="20"/>
      <c r="G542" s="21"/>
    </row>
    <row r="543">
      <c r="C543" s="20"/>
      <c r="G543" s="21"/>
    </row>
    <row r="544">
      <c r="C544" s="20"/>
      <c r="G544" s="21"/>
    </row>
    <row r="545">
      <c r="C545" s="20"/>
      <c r="G545" s="21"/>
    </row>
    <row r="546">
      <c r="C546" s="20"/>
      <c r="G546" s="21"/>
    </row>
    <row r="547">
      <c r="C547" s="20"/>
      <c r="G547" s="21"/>
    </row>
    <row r="548">
      <c r="C548" s="20"/>
      <c r="G548" s="21"/>
    </row>
    <row r="549">
      <c r="C549" s="20"/>
      <c r="G549" s="21"/>
    </row>
    <row r="550">
      <c r="C550" s="20"/>
      <c r="G550" s="21"/>
    </row>
    <row r="551">
      <c r="C551" s="20"/>
      <c r="G551" s="21"/>
    </row>
    <row r="552">
      <c r="C552" s="20"/>
      <c r="G552" s="21"/>
    </row>
    <row r="553">
      <c r="C553" s="20"/>
      <c r="G553" s="21"/>
    </row>
    <row r="554">
      <c r="C554" s="20"/>
      <c r="G554" s="21"/>
    </row>
    <row r="555">
      <c r="C555" s="20"/>
      <c r="G555" s="21"/>
    </row>
    <row r="556">
      <c r="C556" s="20"/>
      <c r="G556" s="21"/>
    </row>
    <row r="557">
      <c r="C557" s="20"/>
      <c r="G557" s="21"/>
    </row>
    <row r="558">
      <c r="C558" s="20"/>
      <c r="G558" s="21"/>
    </row>
    <row r="559">
      <c r="C559" s="20"/>
      <c r="G559" s="21"/>
    </row>
    <row r="560">
      <c r="C560" s="20"/>
      <c r="G560" s="21"/>
    </row>
    <row r="561">
      <c r="C561" s="20"/>
      <c r="G561" s="21"/>
    </row>
    <row r="562">
      <c r="C562" s="20"/>
      <c r="G562" s="21"/>
    </row>
    <row r="563">
      <c r="C563" s="20"/>
      <c r="G563" s="21"/>
    </row>
    <row r="564">
      <c r="C564" s="20"/>
      <c r="G564" s="21"/>
    </row>
    <row r="565">
      <c r="C565" s="20"/>
      <c r="G565" s="21"/>
    </row>
    <row r="566">
      <c r="C566" s="20"/>
      <c r="G566" s="21"/>
    </row>
    <row r="567">
      <c r="C567" s="20"/>
      <c r="G567" s="21"/>
    </row>
    <row r="568">
      <c r="C568" s="20"/>
      <c r="G568" s="21"/>
    </row>
    <row r="569">
      <c r="C569" s="20"/>
      <c r="G569" s="21"/>
    </row>
    <row r="570">
      <c r="C570" s="20"/>
      <c r="G570" s="21"/>
    </row>
    <row r="571">
      <c r="C571" s="20"/>
      <c r="G571" s="21"/>
    </row>
    <row r="572">
      <c r="C572" s="20"/>
      <c r="G572" s="21"/>
    </row>
    <row r="573">
      <c r="C573" s="20"/>
      <c r="G573" s="21"/>
    </row>
    <row r="574">
      <c r="C574" s="20"/>
      <c r="G574" s="21"/>
    </row>
    <row r="575">
      <c r="C575" s="20"/>
      <c r="G575" s="21"/>
    </row>
    <row r="576">
      <c r="C576" s="20"/>
      <c r="G576" s="21"/>
    </row>
    <row r="577">
      <c r="C577" s="20"/>
      <c r="G577" s="21"/>
    </row>
    <row r="578">
      <c r="C578" s="20"/>
      <c r="G578" s="21"/>
    </row>
    <row r="579">
      <c r="C579" s="20"/>
      <c r="G579" s="21"/>
    </row>
    <row r="580">
      <c r="C580" s="20"/>
      <c r="G580" s="21"/>
    </row>
    <row r="581">
      <c r="C581" s="20"/>
      <c r="G581" s="21"/>
    </row>
    <row r="582">
      <c r="C582" s="20"/>
      <c r="G582" s="21"/>
    </row>
    <row r="583">
      <c r="C583" s="20"/>
      <c r="G583" s="21"/>
    </row>
    <row r="584">
      <c r="C584" s="20"/>
      <c r="G584" s="21"/>
    </row>
    <row r="585">
      <c r="C585" s="20"/>
      <c r="G585" s="21"/>
    </row>
    <row r="586">
      <c r="C586" s="20"/>
      <c r="G586" s="21"/>
    </row>
    <row r="587">
      <c r="C587" s="20"/>
      <c r="G587" s="21"/>
    </row>
    <row r="588">
      <c r="C588" s="20"/>
      <c r="G588" s="21"/>
    </row>
    <row r="589">
      <c r="C589" s="20"/>
      <c r="G589" s="21"/>
    </row>
    <row r="590">
      <c r="C590" s="20"/>
      <c r="G590" s="21"/>
    </row>
    <row r="591">
      <c r="C591" s="20"/>
      <c r="G591" s="21"/>
    </row>
    <row r="592">
      <c r="C592" s="20"/>
      <c r="G592" s="21"/>
    </row>
    <row r="593">
      <c r="C593" s="20"/>
      <c r="G593" s="21"/>
    </row>
    <row r="594">
      <c r="C594" s="20"/>
      <c r="G594" s="21"/>
    </row>
    <row r="595">
      <c r="C595" s="20"/>
      <c r="G595" s="21"/>
    </row>
    <row r="596">
      <c r="C596" s="20"/>
      <c r="G596" s="21"/>
    </row>
    <row r="597">
      <c r="C597" s="20"/>
      <c r="G597" s="21"/>
    </row>
    <row r="598">
      <c r="C598" s="20"/>
      <c r="G598" s="21"/>
    </row>
    <row r="599">
      <c r="C599" s="20"/>
      <c r="G599" s="21"/>
    </row>
    <row r="600">
      <c r="C600" s="20"/>
      <c r="G600" s="21"/>
    </row>
    <row r="601">
      <c r="C601" s="20"/>
      <c r="G601" s="21"/>
    </row>
    <row r="602">
      <c r="C602" s="20"/>
      <c r="G602" s="21"/>
    </row>
    <row r="603">
      <c r="C603" s="20"/>
      <c r="G603" s="21"/>
    </row>
    <row r="604">
      <c r="C604" s="20"/>
      <c r="G604" s="21"/>
    </row>
    <row r="605">
      <c r="C605" s="20"/>
      <c r="G605" s="21"/>
    </row>
    <row r="606">
      <c r="C606" s="20"/>
      <c r="G606" s="21"/>
    </row>
    <row r="607">
      <c r="C607" s="20"/>
      <c r="G607" s="21"/>
    </row>
    <row r="608">
      <c r="C608" s="20"/>
      <c r="G608" s="21"/>
    </row>
    <row r="609">
      <c r="C609" s="20"/>
      <c r="G609" s="21"/>
    </row>
    <row r="610">
      <c r="C610" s="20"/>
      <c r="G610" s="21"/>
    </row>
    <row r="611">
      <c r="C611" s="20"/>
      <c r="G611" s="21"/>
    </row>
    <row r="612">
      <c r="C612" s="20"/>
      <c r="G612" s="21"/>
    </row>
    <row r="613">
      <c r="C613" s="20"/>
      <c r="G613" s="21"/>
    </row>
    <row r="614">
      <c r="C614" s="20"/>
      <c r="G614" s="21"/>
    </row>
    <row r="615">
      <c r="C615" s="20"/>
      <c r="G615" s="21"/>
    </row>
    <row r="616">
      <c r="C616" s="20"/>
      <c r="G616" s="21"/>
    </row>
    <row r="617">
      <c r="C617" s="20"/>
      <c r="G617" s="21"/>
    </row>
    <row r="618">
      <c r="C618" s="20"/>
      <c r="G618" s="21"/>
    </row>
    <row r="619">
      <c r="C619" s="20"/>
      <c r="G619" s="21"/>
    </row>
    <row r="620">
      <c r="C620" s="20"/>
      <c r="G620" s="21"/>
    </row>
    <row r="621">
      <c r="C621" s="20"/>
      <c r="G621" s="21"/>
    </row>
    <row r="622">
      <c r="C622" s="20"/>
      <c r="G622" s="21"/>
    </row>
    <row r="623">
      <c r="C623" s="20"/>
      <c r="G623" s="21"/>
    </row>
    <row r="624">
      <c r="C624" s="20"/>
      <c r="G624" s="21"/>
    </row>
    <row r="625">
      <c r="C625" s="20"/>
      <c r="G625" s="21"/>
    </row>
    <row r="626">
      <c r="C626" s="20"/>
      <c r="G626" s="21"/>
    </row>
    <row r="627">
      <c r="C627" s="20"/>
      <c r="G627" s="21"/>
    </row>
    <row r="628">
      <c r="C628" s="20"/>
      <c r="G628" s="21"/>
    </row>
    <row r="629">
      <c r="C629" s="20"/>
      <c r="G629" s="21"/>
    </row>
    <row r="630">
      <c r="C630" s="20"/>
      <c r="G630" s="21"/>
    </row>
    <row r="631">
      <c r="C631" s="20"/>
      <c r="G631" s="21"/>
    </row>
    <row r="632">
      <c r="C632" s="20"/>
      <c r="G632" s="21"/>
    </row>
    <row r="633">
      <c r="C633" s="20"/>
      <c r="G633" s="21"/>
    </row>
    <row r="634">
      <c r="C634" s="20"/>
      <c r="G634" s="21"/>
    </row>
    <row r="635">
      <c r="C635" s="20"/>
      <c r="G635" s="21"/>
    </row>
    <row r="636">
      <c r="C636" s="20"/>
      <c r="G636" s="21"/>
    </row>
    <row r="637">
      <c r="C637" s="20"/>
      <c r="G637" s="21"/>
    </row>
    <row r="638">
      <c r="C638" s="20"/>
      <c r="G638" s="21"/>
    </row>
    <row r="639">
      <c r="C639" s="20"/>
      <c r="G639" s="21"/>
    </row>
    <row r="640">
      <c r="C640" s="20"/>
      <c r="G640" s="21"/>
    </row>
    <row r="641">
      <c r="C641" s="20"/>
      <c r="G641" s="21"/>
    </row>
    <row r="642">
      <c r="C642" s="20"/>
      <c r="G642" s="21"/>
    </row>
    <row r="643">
      <c r="C643" s="20"/>
      <c r="G643" s="21"/>
    </row>
    <row r="644">
      <c r="C644" s="20"/>
      <c r="G644" s="21"/>
    </row>
    <row r="645">
      <c r="C645" s="20"/>
      <c r="G645" s="21"/>
    </row>
    <row r="646">
      <c r="C646" s="20"/>
      <c r="G646" s="21"/>
    </row>
    <row r="647">
      <c r="C647" s="20"/>
      <c r="G647" s="21"/>
    </row>
    <row r="648">
      <c r="C648" s="20"/>
      <c r="G648" s="21"/>
    </row>
    <row r="649">
      <c r="C649" s="20"/>
      <c r="G649" s="21"/>
    </row>
    <row r="650">
      <c r="C650" s="20"/>
      <c r="G650" s="21"/>
    </row>
    <row r="651">
      <c r="C651" s="20"/>
      <c r="G651" s="21"/>
    </row>
    <row r="652">
      <c r="C652" s="20"/>
      <c r="G652" s="21"/>
    </row>
    <row r="653">
      <c r="C653" s="20"/>
      <c r="G653" s="21"/>
    </row>
    <row r="654">
      <c r="C654" s="20"/>
      <c r="G654" s="21"/>
    </row>
    <row r="655">
      <c r="C655" s="20"/>
      <c r="G655" s="21"/>
    </row>
    <row r="656">
      <c r="C656" s="20"/>
      <c r="G656" s="21"/>
    </row>
    <row r="657">
      <c r="C657" s="20"/>
      <c r="G657" s="21"/>
    </row>
    <row r="658">
      <c r="C658" s="20"/>
      <c r="G658" s="21"/>
    </row>
    <row r="659">
      <c r="C659" s="20"/>
      <c r="G659" s="21"/>
    </row>
    <row r="660">
      <c r="C660" s="20"/>
      <c r="G660" s="21"/>
    </row>
    <row r="661">
      <c r="C661" s="20"/>
      <c r="G661" s="21"/>
    </row>
    <row r="662">
      <c r="C662" s="20"/>
      <c r="G662" s="21"/>
    </row>
    <row r="663">
      <c r="C663" s="20"/>
      <c r="G663" s="21"/>
    </row>
    <row r="664">
      <c r="C664" s="20"/>
      <c r="G664" s="21"/>
    </row>
    <row r="665">
      <c r="C665" s="20"/>
      <c r="G665" s="21"/>
    </row>
    <row r="666">
      <c r="C666" s="20"/>
      <c r="G666" s="21"/>
    </row>
    <row r="667">
      <c r="C667" s="20"/>
      <c r="G667" s="21"/>
    </row>
    <row r="668">
      <c r="C668" s="20"/>
      <c r="G668" s="21"/>
    </row>
    <row r="669">
      <c r="C669" s="20"/>
      <c r="G669" s="21"/>
    </row>
    <row r="670">
      <c r="C670" s="20"/>
      <c r="G670" s="21"/>
    </row>
    <row r="671">
      <c r="C671" s="20"/>
      <c r="G671" s="21"/>
    </row>
    <row r="672">
      <c r="C672" s="20"/>
      <c r="G672" s="21"/>
    </row>
    <row r="673">
      <c r="C673" s="20"/>
      <c r="G673" s="21"/>
    </row>
    <row r="674">
      <c r="C674" s="20"/>
      <c r="G674" s="21"/>
    </row>
    <row r="675">
      <c r="C675" s="20"/>
      <c r="G675" s="21"/>
    </row>
    <row r="676">
      <c r="C676" s="20"/>
      <c r="G676" s="21"/>
    </row>
    <row r="677">
      <c r="C677" s="20"/>
      <c r="G677" s="21"/>
    </row>
    <row r="678">
      <c r="C678" s="20"/>
      <c r="G678" s="21"/>
    </row>
    <row r="679">
      <c r="C679" s="20"/>
      <c r="G679" s="21"/>
    </row>
    <row r="680">
      <c r="C680" s="20"/>
      <c r="G680" s="21"/>
    </row>
    <row r="681">
      <c r="C681" s="20"/>
      <c r="G681" s="21"/>
    </row>
    <row r="682">
      <c r="C682" s="20"/>
      <c r="G682" s="21"/>
    </row>
    <row r="683">
      <c r="C683" s="20"/>
      <c r="G683" s="21"/>
    </row>
    <row r="684">
      <c r="C684" s="20"/>
      <c r="G684" s="21"/>
    </row>
    <row r="685">
      <c r="C685" s="20"/>
      <c r="G685" s="21"/>
    </row>
    <row r="686">
      <c r="C686" s="20"/>
      <c r="G686" s="21"/>
    </row>
    <row r="687">
      <c r="C687" s="20"/>
      <c r="G687" s="21"/>
    </row>
    <row r="688">
      <c r="C688" s="20"/>
      <c r="G688" s="21"/>
    </row>
    <row r="689">
      <c r="C689" s="20"/>
      <c r="G689" s="21"/>
    </row>
    <row r="690">
      <c r="C690" s="20"/>
      <c r="G690" s="21"/>
    </row>
    <row r="691">
      <c r="C691" s="20"/>
      <c r="G691" s="21"/>
    </row>
    <row r="692">
      <c r="C692" s="20"/>
      <c r="G692" s="21"/>
    </row>
    <row r="693">
      <c r="C693" s="20"/>
      <c r="G693" s="21"/>
    </row>
    <row r="694">
      <c r="C694" s="20"/>
      <c r="G694" s="21"/>
    </row>
    <row r="695">
      <c r="C695" s="20"/>
      <c r="G695" s="21"/>
    </row>
    <row r="696">
      <c r="C696" s="20"/>
      <c r="G696" s="21"/>
    </row>
    <row r="697">
      <c r="C697" s="20"/>
      <c r="G697" s="21"/>
    </row>
    <row r="698">
      <c r="C698" s="20"/>
      <c r="G698" s="21"/>
    </row>
    <row r="699">
      <c r="C699" s="20"/>
      <c r="G699" s="21"/>
    </row>
    <row r="700">
      <c r="C700" s="20"/>
      <c r="G700" s="21"/>
    </row>
    <row r="701">
      <c r="C701" s="20"/>
      <c r="G701" s="21"/>
    </row>
    <row r="702">
      <c r="C702" s="20"/>
      <c r="G702" s="21"/>
    </row>
    <row r="703">
      <c r="C703" s="20"/>
      <c r="G703" s="21"/>
    </row>
    <row r="704">
      <c r="C704" s="20"/>
      <c r="G704" s="21"/>
    </row>
    <row r="705">
      <c r="C705" s="20"/>
      <c r="G705" s="21"/>
    </row>
    <row r="706">
      <c r="C706" s="20"/>
      <c r="G706" s="21"/>
    </row>
    <row r="707">
      <c r="C707" s="20"/>
      <c r="G707" s="21"/>
    </row>
    <row r="708">
      <c r="C708" s="20"/>
      <c r="G708" s="21"/>
    </row>
    <row r="709">
      <c r="C709" s="20"/>
      <c r="G709" s="21"/>
    </row>
    <row r="710">
      <c r="C710" s="20"/>
      <c r="G710" s="21"/>
    </row>
    <row r="711">
      <c r="C711" s="20"/>
      <c r="G711" s="21"/>
    </row>
    <row r="712">
      <c r="C712" s="20"/>
      <c r="G712" s="21"/>
    </row>
    <row r="713">
      <c r="C713" s="20"/>
      <c r="G713" s="21"/>
    </row>
    <row r="714">
      <c r="C714" s="20"/>
      <c r="G714" s="21"/>
    </row>
    <row r="715">
      <c r="C715" s="20"/>
      <c r="G715" s="21"/>
    </row>
    <row r="716">
      <c r="C716" s="20"/>
      <c r="G716" s="21"/>
    </row>
    <row r="717">
      <c r="C717" s="20"/>
      <c r="G717" s="21"/>
    </row>
    <row r="718">
      <c r="C718" s="20"/>
      <c r="G718" s="21"/>
    </row>
    <row r="719">
      <c r="C719" s="20"/>
      <c r="G719" s="21"/>
    </row>
    <row r="720">
      <c r="C720" s="20"/>
      <c r="G720" s="21"/>
    </row>
    <row r="721">
      <c r="C721" s="20"/>
      <c r="G721" s="21"/>
    </row>
    <row r="722">
      <c r="C722" s="20"/>
      <c r="G722" s="21"/>
    </row>
    <row r="723">
      <c r="C723" s="20"/>
      <c r="G723" s="21"/>
    </row>
    <row r="724">
      <c r="C724" s="20"/>
      <c r="G724" s="21"/>
    </row>
    <row r="725">
      <c r="C725" s="20"/>
      <c r="G725" s="21"/>
    </row>
    <row r="726">
      <c r="C726" s="20"/>
      <c r="G726" s="21"/>
    </row>
    <row r="727">
      <c r="C727" s="20"/>
      <c r="G727" s="21"/>
    </row>
    <row r="728">
      <c r="C728" s="20"/>
      <c r="G728" s="21"/>
    </row>
    <row r="729">
      <c r="C729" s="20"/>
      <c r="G729" s="21"/>
    </row>
    <row r="730">
      <c r="C730" s="20"/>
      <c r="G730" s="21"/>
    </row>
    <row r="731">
      <c r="C731" s="20"/>
      <c r="G731" s="21"/>
    </row>
    <row r="732">
      <c r="C732" s="20"/>
      <c r="G732" s="21"/>
    </row>
    <row r="733">
      <c r="C733" s="20"/>
      <c r="G733" s="21"/>
    </row>
    <row r="734">
      <c r="C734" s="20"/>
      <c r="G734" s="21"/>
    </row>
    <row r="735">
      <c r="C735" s="20"/>
      <c r="G735" s="21"/>
    </row>
    <row r="736">
      <c r="C736" s="20"/>
      <c r="G736" s="21"/>
    </row>
    <row r="737">
      <c r="C737" s="20"/>
      <c r="G737" s="21"/>
    </row>
    <row r="738">
      <c r="C738" s="20"/>
      <c r="G738" s="21"/>
    </row>
    <row r="739">
      <c r="C739" s="20"/>
      <c r="G739" s="21"/>
    </row>
    <row r="740">
      <c r="C740" s="20"/>
      <c r="G740" s="21"/>
    </row>
    <row r="741">
      <c r="C741" s="20"/>
      <c r="G741" s="21"/>
    </row>
    <row r="742">
      <c r="C742" s="20"/>
      <c r="G742" s="21"/>
    </row>
    <row r="743">
      <c r="C743" s="20"/>
      <c r="G743" s="21"/>
    </row>
    <row r="744">
      <c r="C744" s="20"/>
      <c r="G744" s="21"/>
    </row>
    <row r="745">
      <c r="C745" s="20"/>
      <c r="G745" s="21"/>
    </row>
    <row r="746">
      <c r="C746" s="20"/>
      <c r="G746" s="21"/>
    </row>
    <row r="747">
      <c r="C747" s="20"/>
      <c r="G747" s="21"/>
    </row>
    <row r="748">
      <c r="C748" s="20"/>
      <c r="G748" s="21"/>
    </row>
    <row r="749">
      <c r="C749" s="20"/>
      <c r="G749" s="21"/>
    </row>
    <row r="750">
      <c r="C750" s="20"/>
      <c r="G750" s="21"/>
    </row>
    <row r="751">
      <c r="C751" s="20"/>
      <c r="G751" s="21"/>
    </row>
    <row r="752">
      <c r="C752" s="20"/>
      <c r="G752" s="21"/>
    </row>
    <row r="753">
      <c r="C753" s="20"/>
      <c r="G753" s="21"/>
    </row>
    <row r="754">
      <c r="C754" s="20"/>
      <c r="G754" s="21"/>
    </row>
    <row r="755">
      <c r="C755" s="20"/>
      <c r="G755" s="21"/>
    </row>
    <row r="756">
      <c r="C756" s="20"/>
      <c r="G756" s="21"/>
    </row>
    <row r="757">
      <c r="C757" s="20"/>
      <c r="G757" s="21"/>
    </row>
    <row r="758">
      <c r="C758" s="20"/>
      <c r="G758" s="21"/>
    </row>
    <row r="759">
      <c r="C759" s="20"/>
      <c r="G759" s="21"/>
    </row>
    <row r="760">
      <c r="C760" s="20"/>
      <c r="G760" s="21"/>
    </row>
    <row r="761">
      <c r="C761" s="20"/>
      <c r="G761" s="21"/>
    </row>
    <row r="762">
      <c r="C762" s="20"/>
      <c r="G762" s="21"/>
    </row>
    <row r="763">
      <c r="C763" s="20"/>
      <c r="G763" s="21"/>
    </row>
    <row r="764">
      <c r="C764" s="20"/>
      <c r="G764" s="21"/>
    </row>
    <row r="765">
      <c r="C765" s="20"/>
      <c r="G765" s="21"/>
    </row>
    <row r="766">
      <c r="C766" s="20"/>
      <c r="G766" s="21"/>
    </row>
    <row r="767">
      <c r="C767" s="20"/>
      <c r="G767" s="21"/>
    </row>
    <row r="768">
      <c r="C768" s="20"/>
      <c r="G768" s="21"/>
    </row>
    <row r="769">
      <c r="C769" s="20"/>
      <c r="G769" s="21"/>
    </row>
    <row r="770">
      <c r="C770" s="20"/>
      <c r="G770" s="21"/>
    </row>
    <row r="771">
      <c r="C771" s="20"/>
      <c r="G771" s="21"/>
    </row>
    <row r="772">
      <c r="C772" s="20"/>
      <c r="G772" s="21"/>
    </row>
    <row r="773">
      <c r="C773" s="20"/>
      <c r="G773" s="21"/>
    </row>
    <row r="774">
      <c r="C774" s="20"/>
      <c r="G774" s="21"/>
    </row>
    <row r="775">
      <c r="C775" s="20"/>
      <c r="G775" s="21"/>
    </row>
    <row r="776">
      <c r="C776" s="20"/>
      <c r="G776" s="21"/>
    </row>
    <row r="777">
      <c r="C777" s="20"/>
      <c r="G777" s="21"/>
    </row>
    <row r="778">
      <c r="C778" s="20"/>
      <c r="G778" s="21"/>
    </row>
    <row r="779">
      <c r="C779" s="20"/>
      <c r="G779" s="21"/>
    </row>
    <row r="780">
      <c r="C780" s="20"/>
      <c r="G780" s="21"/>
    </row>
    <row r="781">
      <c r="C781" s="20"/>
      <c r="G781" s="21"/>
    </row>
    <row r="782">
      <c r="C782" s="20"/>
      <c r="G782" s="21"/>
    </row>
    <row r="783">
      <c r="C783" s="20"/>
      <c r="G783" s="21"/>
    </row>
    <row r="784">
      <c r="C784" s="20"/>
      <c r="G784" s="21"/>
    </row>
    <row r="785">
      <c r="C785" s="20"/>
      <c r="G785" s="21"/>
    </row>
    <row r="786">
      <c r="C786" s="20"/>
      <c r="G786" s="21"/>
    </row>
    <row r="787">
      <c r="C787" s="20"/>
      <c r="G787" s="21"/>
    </row>
    <row r="788">
      <c r="C788" s="20"/>
      <c r="G788" s="21"/>
    </row>
    <row r="789">
      <c r="C789" s="20"/>
      <c r="G789" s="21"/>
    </row>
    <row r="790">
      <c r="C790" s="20"/>
      <c r="G790" s="21"/>
    </row>
    <row r="791">
      <c r="C791" s="20"/>
      <c r="G791" s="21"/>
    </row>
    <row r="792">
      <c r="C792" s="20"/>
      <c r="G792" s="21"/>
    </row>
    <row r="793">
      <c r="C793" s="20"/>
      <c r="G793" s="21"/>
    </row>
    <row r="794">
      <c r="C794" s="20"/>
      <c r="G794" s="21"/>
    </row>
    <row r="795">
      <c r="C795" s="20"/>
      <c r="G795" s="21"/>
    </row>
    <row r="796">
      <c r="C796" s="20"/>
      <c r="G796" s="21"/>
    </row>
    <row r="797">
      <c r="C797" s="20"/>
      <c r="G797" s="21"/>
    </row>
    <row r="798">
      <c r="C798" s="20"/>
      <c r="G798" s="21"/>
    </row>
    <row r="799">
      <c r="C799" s="20"/>
      <c r="G799" s="21"/>
    </row>
    <row r="800">
      <c r="C800" s="20"/>
      <c r="G800" s="21"/>
    </row>
    <row r="801">
      <c r="C801" s="20"/>
      <c r="G801" s="21"/>
    </row>
    <row r="802">
      <c r="C802" s="20"/>
      <c r="G802" s="21"/>
    </row>
    <row r="803">
      <c r="C803" s="20"/>
      <c r="G803" s="21"/>
    </row>
    <row r="804">
      <c r="C804" s="20"/>
      <c r="G804" s="21"/>
    </row>
    <row r="805">
      <c r="C805" s="20"/>
      <c r="G805" s="21"/>
    </row>
    <row r="806">
      <c r="C806" s="20"/>
      <c r="G806" s="21"/>
    </row>
    <row r="807">
      <c r="C807" s="20"/>
      <c r="G807" s="21"/>
    </row>
    <row r="808">
      <c r="C808" s="20"/>
      <c r="G808" s="21"/>
    </row>
    <row r="809">
      <c r="C809" s="20"/>
      <c r="G809" s="21"/>
    </row>
    <row r="810">
      <c r="C810" s="20"/>
      <c r="G810" s="21"/>
    </row>
    <row r="811">
      <c r="C811" s="20"/>
      <c r="G811" s="21"/>
    </row>
    <row r="812">
      <c r="C812" s="20"/>
      <c r="G812" s="21"/>
    </row>
    <row r="813">
      <c r="C813" s="20"/>
      <c r="G813" s="21"/>
    </row>
    <row r="814">
      <c r="C814" s="20"/>
      <c r="G814" s="21"/>
    </row>
    <row r="815">
      <c r="C815" s="20"/>
      <c r="G815" s="21"/>
    </row>
    <row r="816">
      <c r="C816" s="20"/>
      <c r="G816" s="21"/>
    </row>
    <row r="817">
      <c r="C817" s="20"/>
      <c r="G817" s="21"/>
    </row>
    <row r="818">
      <c r="C818" s="20"/>
      <c r="G818" s="21"/>
    </row>
    <row r="819">
      <c r="C819" s="20"/>
      <c r="G819" s="21"/>
    </row>
    <row r="820">
      <c r="C820" s="20"/>
      <c r="G820" s="21"/>
    </row>
    <row r="821">
      <c r="C821" s="20"/>
      <c r="G821" s="21"/>
    </row>
    <row r="822">
      <c r="C822" s="20"/>
      <c r="G822" s="21"/>
    </row>
    <row r="823">
      <c r="C823" s="20"/>
      <c r="G823" s="21"/>
    </row>
    <row r="824">
      <c r="C824" s="20"/>
      <c r="G824" s="21"/>
    </row>
    <row r="825">
      <c r="C825" s="20"/>
      <c r="G825" s="21"/>
    </row>
    <row r="826">
      <c r="C826" s="20"/>
      <c r="G826" s="21"/>
    </row>
    <row r="827">
      <c r="C827" s="20"/>
      <c r="G827" s="21"/>
    </row>
    <row r="828">
      <c r="C828" s="20"/>
      <c r="G828" s="21"/>
    </row>
    <row r="829">
      <c r="C829" s="20"/>
      <c r="G829" s="21"/>
    </row>
    <row r="830">
      <c r="C830" s="20"/>
      <c r="G830" s="21"/>
    </row>
    <row r="831">
      <c r="C831" s="20"/>
      <c r="G831" s="21"/>
    </row>
    <row r="832">
      <c r="C832" s="20"/>
      <c r="G832" s="21"/>
    </row>
    <row r="833">
      <c r="C833" s="20"/>
      <c r="G833" s="21"/>
    </row>
    <row r="834">
      <c r="C834" s="20"/>
      <c r="G834" s="21"/>
    </row>
    <row r="835">
      <c r="C835" s="20"/>
      <c r="G835" s="21"/>
    </row>
    <row r="836">
      <c r="C836" s="20"/>
      <c r="G836" s="21"/>
    </row>
    <row r="837">
      <c r="C837" s="20"/>
      <c r="G837" s="21"/>
    </row>
    <row r="838">
      <c r="C838" s="20"/>
      <c r="G838" s="21"/>
    </row>
    <row r="839">
      <c r="C839" s="20"/>
      <c r="G839" s="21"/>
    </row>
    <row r="840">
      <c r="C840" s="20"/>
      <c r="G840" s="21"/>
    </row>
    <row r="841">
      <c r="C841" s="20"/>
      <c r="G841" s="21"/>
    </row>
    <row r="842">
      <c r="C842" s="20"/>
      <c r="G842" s="21"/>
    </row>
    <row r="843">
      <c r="C843" s="20"/>
      <c r="G843" s="21"/>
    </row>
    <row r="844">
      <c r="C844" s="20"/>
      <c r="G844" s="21"/>
    </row>
    <row r="845">
      <c r="C845" s="20"/>
      <c r="G845" s="21"/>
    </row>
    <row r="846">
      <c r="C846" s="20"/>
      <c r="G846" s="21"/>
    </row>
    <row r="847">
      <c r="C847" s="20"/>
      <c r="G847" s="21"/>
    </row>
    <row r="848">
      <c r="C848" s="20"/>
      <c r="G848" s="21"/>
    </row>
    <row r="849">
      <c r="C849" s="20"/>
      <c r="G849" s="21"/>
    </row>
    <row r="850">
      <c r="C850" s="20"/>
      <c r="G850" s="21"/>
    </row>
    <row r="851">
      <c r="C851" s="20"/>
      <c r="G851" s="21"/>
    </row>
    <row r="852">
      <c r="C852" s="20"/>
      <c r="G852" s="21"/>
    </row>
    <row r="853">
      <c r="C853" s="20"/>
      <c r="G853" s="21"/>
    </row>
    <row r="854">
      <c r="C854" s="20"/>
      <c r="G854" s="21"/>
    </row>
    <row r="855">
      <c r="C855" s="20"/>
      <c r="G855" s="21"/>
    </row>
    <row r="856">
      <c r="C856" s="20"/>
      <c r="G856" s="21"/>
    </row>
    <row r="857">
      <c r="C857" s="20"/>
      <c r="G857" s="21"/>
    </row>
    <row r="858">
      <c r="C858" s="20"/>
      <c r="G858" s="21"/>
    </row>
    <row r="859">
      <c r="C859" s="20"/>
      <c r="G859" s="21"/>
    </row>
    <row r="860">
      <c r="C860" s="20"/>
      <c r="G860" s="21"/>
    </row>
    <row r="861">
      <c r="C861" s="20"/>
      <c r="G861" s="21"/>
    </row>
    <row r="862">
      <c r="C862" s="20"/>
      <c r="G862" s="21"/>
    </row>
    <row r="863">
      <c r="C863" s="20"/>
      <c r="G863" s="21"/>
    </row>
    <row r="864">
      <c r="C864" s="20"/>
      <c r="G864" s="21"/>
    </row>
    <row r="865">
      <c r="C865" s="20"/>
      <c r="G865" s="21"/>
    </row>
    <row r="866">
      <c r="C866" s="20"/>
      <c r="G866" s="21"/>
    </row>
    <row r="867">
      <c r="C867" s="20"/>
      <c r="G867" s="21"/>
    </row>
    <row r="868">
      <c r="C868" s="20"/>
      <c r="G868" s="21"/>
    </row>
    <row r="869">
      <c r="C869" s="20"/>
      <c r="G869" s="21"/>
    </row>
    <row r="870">
      <c r="C870" s="20"/>
      <c r="G870" s="21"/>
    </row>
    <row r="871">
      <c r="C871" s="20"/>
      <c r="G871" s="21"/>
    </row>
    <row r="872">
      <c r="C872" s="20"/>
      <c r="G872" s="21"/>
    </row>
    <row r="873">
      <c r="C873" s="20"/>
      <c r="G873" s="21"/>
    </row>
    <row r="874">
      <c r="C874" s="20"/>
      <c r="G874" s="21"/>
    </row>
    <row r="875">
      <c r="C875" s="20"/>
      <c r="G875" s="21"/>
    </row>
    <row r="876">
      <c r="C876" s="20"/>
      <c r="G876" s="21"/>
    </row>
    <row r="877">
      <c r="C877" s="20"/>
      <c r="G877" s="21"/>
    </row>
    <row r="878">
      <c r="C878" s="20"/>
      <c r="G878" s="21"/>
    </row>
    <row r="879">
      <c r="C879" s="20"/>
      <c r="G879" s="21"/>
    </row>
    <row r="880">
      <c r="C880" s="20"/>
      <c r="G880" s="21"/>
    </row>
    <row r="881">
      <c r="C881" s="20"/>
      <c r="G881" s="21"/>
    </row>
    <row r="882">
      <c r="C882" s="20"/>
      <c r="G882" s="21"/>
    </row>
    <row r="883">
      <c r="C883" s="20"/>
      <c r="G883" s="21"/>
    </row>
    <row r="884">
      <c r="C884" s="20"/>
      <c r="G884" s="21"/>
    </row>
    <row r="885">
      <c r="C885" s="20"/>
      <c r="G885" s="21"/>
    </row>
    <row r="886">
      <c r="C886" s="20"/>
      <c r="G886" s="21"/>
    </row>
    <row r="887">
      <c r="C887" s="20"/>
      <c r="G887" s="21"/>
    </row>
    <row r="888">
      <c r="C888" s="20"/>
      <c r="G888" s="21"/>
    </row>
    <row r="889">
      <c r="C889" s="20"/>
      <c r="G889" s="21"/>
    </row>
    <row r="890">
      <c r="C890" s="20"/>
      <c r="G890" s="21"/>
    </row>
    <row r="891">
      <c r="C891" s="20"/>
      <c r="G891" s="21"/>
    </row>
    <row r="892">
      <c r="C892" s="20"/>
      <c r="G892" s="21"/>
    </row>
    <row r="893">
      <c r="C893" s="20"/>
      <c r="G893" s="21"/>
    </row>
    <row r="894">
      <c r="C894" s="20"/>
      <c r="G894" s="21"/>
    </row>
    <row r="895">
      <c r="C895" s="20"/>
      <c r="G895" s="21"/>
    </row>
    <row r="896">
      <c r="C896" s="20"/>
      <c r="G896" s="21"/>
    </row>
    <row r="897">
      <c r="C897" s="20"/>
      <c r="G897" s="21"/>
    </row>
    <row r="898">
      <c r="C898" s="20"/>
      <c r="G898" s="21"/>
    </row>
    <row r="899">
      <c r="C899" s="20"/>
      <c r="G899" s="21"/>
    </row>
    <row r="900">
      <c r="C900" s="20"/>
      <c r="G900" s="21"/>
    </row>
    <row r="901">
      <c r="C901" s="20"/>
      <c r="G901" s="21"/>
    </row>
    <row r="902">
      <c r="C902" s="20"/>
      <c r="G902" s="21"/>
    </row>
    <row r="903">
      <c r="C903" s="20"/>
      <c r="G903" s="21"/>
    </row>
    <row r="904">
      <c r="C904" s="20"/>
      <c r="G904" s="21"/>
    </row>
    <row r="905">
      <c r="C905" s="20"/>
      <c r="G905" s="21"/>
    </row>
    <row r="906">
      <c r="C906" s="20"/>
      <c r="G906" s="21"/>
    </row>
    <row r="907">
      <c r="C907" s="20"/>
      <c r="G907" s="21"/>
    </row>
    <row r="908">
      <c r="C908" s="20"/>
      <c r="G908" s="21"/>
    </row>
    <row r="909">
      <c r="C909" s="20"/>
      <c r="G909" s="21"/>
    </row>
    <row r="910">
      <c r="C910" s="20"/>
      <c r="G910" s="21"/>
    </row>
    <row r="911">
      <c r="C911" s="20"/>
      <c r="G911" s="21"/>
    </row>
    <row r="912">
      <c r="C912" s="20"/>
      <c r="G912" s="21"/>
    </row>
    <row r="913">
      <c r="C913" s="20"/>
      <c r="G913" s="21"/>
    </row>
    <row r="914">
      <c r="C914" s="20"/>
      <c r="G914" s="21"/>
    </row>
    <row r="915">
      <c r="C915" s="20"/>
      <c r="G915" s="21"/>
    </row>
    <row r="916">
      <c r="C916" s="20"/>
      <c r="G916" s="21"/>
    </row>
    <row r="917">
      <c r="C917" s="20"/>
      <c r="G917" s="21"/>
    </row>
    <row r="918">
      <c r="C918" s="20"/>
      <c r="G918" s="21"/>
    </row>
    <row r="919">
      <c r="C919" s="20"/>
      <c r="G919" s="21"/>
    </row>
    <row r="920">
      <c r="C920" s="20"/>
      <c r="G920" s="21"/>
    </row>
    <row r="921">
      <c r="C921" s="20"/>
      <c r="G921" s="21"/>
    </row>
    <row r="922">
      <c r="C922" s="20"/>
      <c r="G922" s="21"/>
    </row>
    <row r="923">
      <c r="C923" s="20"/>
      <c r="G923" s="21"/>
    </row>
    <row r="924">
      <c r="C924" s="20"/>
      <c r="G924" s="21"/>
    </row>
    <row r="925">
      <c r="C925" s="20"/>
      <c r="G925" s="21"/>
    </row>
    <row r="926">
      <c r="C926" s="20"/>
      <c r="G926" s="21"/>
    </row>
    <row r="927">
      <c r="C927" s="20"/>
      <c r="G927" s="21"/>
    </row>
    <row r="928">
      <c r="C928" s="20"/>
      <c r="G928" s="21"/>
    </row>
    <row r="929">
      <c r="C929" s="20"/>
      <c r="G929" s="21"/>
    </row>
    <row r="930">
      <c r="C930" s="20"/>
      <c r="G930" s="21"/>
    </row>
    <row r="931">
      <c r="C931" s="20"/>
      <c r="G931" s="21"/>
    </row>
    <row r="932">
      <c r="C932" s="20"/>
      <c r="G932" s="21"/>
    </row>
    <row r="933">
      <c r="C933" s="20"/>
      <c r="G933" s="21"/>
    </row>
    <row r="934">
      <c r="C934" s="20"/>
      <c r="G934" s="21"/>
    </row>
    <row r="935">
      <c r="C935" s="20"/>
      <c r="G935" s="21"/>
    </row>
    <row r="936">
      <c r="C936" s="20"/>
      <c r="G936" s="21"/>
    </row>
    <row r="937">
      <c r="C937" s="20"/>
      <c r="G937" s="21"/>
    </row>
    <row r="938">
      <c r="C938" s="20"/>
      <c r="G938" s="21"/>
    </row>
    <row r="939">
      <c r="C939" s="20"/>
      <c r="G939" s="21"/>
    </row>
    <row r="940">
      <c r="C940" s="20"/>
      <c r="G940" s="21"/>
    </row>
    <row r="941">
      <c r="C941" s="20"/>
      <c r="G941" s="21"/>
    </row>
    <row r="942">
      <c r="C942" s="20"/>
      <c r="G942" s="21"/>
    </row>
    <row r="943">
      <c r="C943" s="20"/>
      <c r="G943" s="21"/>
    </row>
    <row r="944">
      <c r="C944" s="20"/>
      <c r="G944" s="21"/>
    </row>
    <row r="945">
      <c r="C945" s="20"/>
      <c r="G945" s="21"/>
    </row>
    <row r="946">
      <c r="C946" s="20"/>
      <c r="G946" s="21"/>
    </row>
    <row r="947">
      <c r="C947" s="20"/>
      <c r="G947" s="21"/>
    </row>
    <row r="948">
      <c r="C948" s="20"/>
      <c r="G948" s="21"/>
    </row>
    <row r="949">
      <c r="C949" s="20"/>
      <c r="G949" s="21"/>
    </row>
    <row r="950">
      <c r="C950" s="20"/>
      <c r="G950" s="21"/>
    </row>
    <row r="951">
      <c r="C951" s="20"/>
      <c r="G951" s="21"/>
    </row>
    <row r="952">
      <c r="C952" s="20"/>
      <c r="G952" s="21"/>
    </row>
    <row r="953">
      <c r="C953" s="20"/>
      <c r="G953" s="21"/>
    </row>
    <row r="954">
      <c r="C954" s="20"/>
      <c r="G954" s="21"/>
    </row>
    <row r="955">
      <c r="C955" s="20"/>
      <c r="G955" s="21"/>
    </row>
    <row r="956">
      <c r="C956" s="20"/>
      <c r="G956" s="21"/>
    </row>
    <row r="957">
      <c r="C957" s="20"/>
      <c r="G957" s="21"/>
    </row>
    <row r="958">
      <c r="C958" s="20"/>
      <c r="G958" s="21"/>
    </row>
    <row r="959">
      <c r="C959" s="20"/>
      <c r="G959" s="21"/>
    </row>
    <row r="960">
      <c r="C960" s="20"/>
      <c r="G960" s="21"/>
    </row>
    <row r="961">
      <c r="C961" s="20"/>
      <c r="G961" s="21"/>
    </row>
    <row r="962">
      <c r="C962" s="20"/>
      <c r="G962" s="21"/>
    </row>
    <row r="963">
      <c r="C963" s="20"/>
      <c r="G963" s="21"/>
    </row>
    <row r="964">
      <c r="C964" s="20"/>
      <c r="G964" s="21"/>
    </row>
    <row r="965">
      <c r="C965" s="20"/>
      <c r="G965" s="21"/>
    </row>
    <row r="966">
      <c r="C966" s="20"/>
      <c r="G966" s="21"/>
    </row>
    <row r="967">
      <c r="C967" s="20"/>
      <c r="G967" s="21"/>
    </row>
    <row r="968">
      <c r="C968" s="20"/>
      <c r="G968" s="21"/>
    </row>
    <row r="969">
      <c r="C969" s="20"/>
      <c r="G969" s="21"/>
    </row>
    <row r="970">
      <c r="C970" s="20"/>
      <c r="G970" s="21"/>
    </row>
    <row r="971">
      <c r="C971" s="20"/>
      <c r="G971" s="21"/>
    </row>
    <row r="972">
      <c r="C972" s="20"/>
      <c r="G972" s="21"/>
    </row>
    <row r="973">
      <c r="C973" s="20"/>
      <c r="G973" s="21"/>
    </row>
    <row r="974">
      <c r="C974" s="20"/>
      <c r="G974" s="21"/>
    </row>
    <row r="975">
      <c r="C975" s="20"/>
      <c r="G975" s="21"/>
    </row>
    <row r="976">
      <c r="C976" s="20"/>
      <c r="G976" s="21"/>
    </row>
    <row r="977">
      <c r="C977" s="20"/>
      <c r="G977" s="21"/>
    </row>
    <row r="978">
      <c r="C978" s="20"/>
      <c r="G978" s="21"/>
    </row>
    <row r="979">
      <c r="C979" s="20"/>
      <c r="G979" s="21"/>
    </row>
    <row r="980">
      <c r="C980" s="20"/>
      <c r="G980" s="21"/>
    </row>
    <row r="981">
      <c r="C981" s="20"/>
      <c r="G981" s="21"/>
    </row>
    <row r="982">
      <c r="C982" s="20"/>
      <c r="G982" s="21"/>
    </row>
    <row r="983">
      <c r="C983" s="20"/>
      <c r="G983" s="21"/>
    </row>
    <row r="984">
      <c r="C984" s="20"/>
      <c r="G984" s="21"/>
    </row>
    <row r="985">
      <c r="C985" s="20"/>
      <c r="G985" s="21"/>
    </row>
    <row r="986">
      <c r="C986" s="20"/>
      <c r="G986" s="21"/>
    </row>
    <row r="987">
      <c r="C987" s="20"/>
      <c r="G987" s="21"/>
    </row>
    <row r="988">
      <c r="C988" s="20"/>
      <c r="G988" s="21"/>
    </row>
    <row r="989">
      <c r="C989" s="20"/>
      <c r="G989" s="21"/>
    </row>
    <row r="990">
      <c r="C990" s="20"/>
      <c r="G990" s="21"/>
    </row>
    <row r="991">
      <c r="C991" s="20"/>
      <c r="G991" s="21"/>
    </row>
    <row r="992">
      <c r="C992" s="20"/>
      <c r="G992" s="21"/>
    </row>
    <row r="993">
      <c r="C993" s="20"/>
      <c r="G993" s="21"/>
    </row>
    <row r="994">
      <c r="C994" s="20"/>
      <c r="G994" s="21"/>
    </row>
    <row r="995">
      <c r="C995" s="20"/>
      <c r="G995" s="21"/>
    </row>
    <row r="996">
      <c r="C996" s="20"/>
      <c r="G996" s="21"/>
    </row>
    <row r="997">
      <c r="C997" s="20"/>
      <c r="G997" s="21"/>
    </row>
    <row r="998">
      <c r="C998" s="20"/>
      <c r="G998" s="21"/>
    </row>
    <row r="999">
      <c r="C999" s="20"/>
      <c r="G999" s="21"/>
    </row>
  </sheetData>
  <hyperlinks>
    <hyperlink r:id="rId1" ref="A14"/>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5"/>
  </cols>
  <sheetData>
    <row r="1">
      <c r="A1" s="1" t="s">
        <v>387</v>
      </c>
    </row>
    <row r="2">
      <c r="A2" s="1" t="s">
        <v>389</v>
      </c>
    </row>
    <row r="3">
      <c r="A3" s="1" t="s">
        <v>390</v>
      </c>
    </row>
    <row r="4">
      <c r="A4" s="1" t="s">
        <v>392</v>
      </c>
    </row>
    <row r="5">
      <c r="A5" s="1" t="s">
        <v>393</v>
      </c>
    </row>
    <row r="6">
      <c r="A6" s="1" t="s">
        <v>394</v>
      </c>
    </row>
    <row r="7">
      <c r="A7" s="1" t="s">
        <v>395</v>
      </c>
    </row>
    <row r="8">
      <c r="A8" s="1" t="s">
        <v>397</v>
      </c>
    </row>
    <row r="9">
      <c r="A9" s="1" t="s">
        <v>398</v>
      </c>
    </row>
    <row r="10">
      <c r="A10" s="1" t="s">
        <v>400</v>
      </c>
    </row>
    <row r="11">
      <c r="A11" s="1" t="s">
        <v>401</v>
      </c>
    </row>
    <row r="12">
      <c r="A12" s="1" t="s">
        <v>405</v>
      </c>
    </row>
    <row r="13">
      <c r="A13" s="1" t="s">
        <v>407</v>
      </c>
    </row>
    <row r="14">
      <c r="A14" s="1" t="s">
        <v>410</v>
      </c>
    </row>
    <row r="15">
      <c r="A15" s="1" t="s">
        <v>413</v>
      </c>
    </row>
    <row r="16">
      <c r="A16" s="1" t="s">
        <v>414</v>
      </c>
    </row>
    <row r="17">
      <c r="A17" s="1" t="s">
        <v>416</v>
      </c>
    </row>
    <row r="18">
      <c r="A18" s="1" t="s">
        <v>417</v>
      </c>
    </row>
    <row r="19">
      <c r="A19" s="1" t="s">
        <v>418</v>
      </c>
    </row>
    <row r="20">
      <c r="A20" s="1" t="s">
        <v>420</v>
      </c>
    </row>
    <row r="21">
      <c r="A21" s="1" t="s">
        <v>421</v>
      </c>
    </row>
    <row r="22">
      <c r="A22" s="1" t="s">
        <v>422</v>
      </c>
    </row>
    <row r="23">
      <c r="A23" s="1" t="s">
        <v>424</v>
      </c>
    </row>
    <row r="24">
      <c r="A24" s="1" t="s">
        <v>425</v>
      </c>
    </row>
    <row r="25">
      <c r="A25" s="1" t="s">
        <v>427</v>
      </c>
    </row>
    <row r="26">
      <c r="A26" s="1" t="s">
        <v>428</v>
      </c>
    </row>
    <row r="27">
      <c r="A27" s="1" t="s">
        <v>431</v>
      </c>
    </row>
    <row r="28">
      <c r="A28" s="1" t="s">
        <v>432</v>
      </c>
    </row>
    <row r="29">
      <c r="A29" s="1" t="s">
        <v>434</v>
      </c>
    </row>
    <row r="30">
      <c r="A30" s="1" t="s">
        <v>435</v>
      </c>
    </row>
    <row r="31">
      <c r="A31" s="1" t="s">
        <v>436</v>
      </c>
    </row>
    <row r="32">
      <c r="A32" s="1" t="s">
        <v>437</v>
      </c>
    </row>
    <row r="33">
      <c r="A33" s="1" t="s">
        <v>439</v>
      </c>
    </row>
    <row r="34">
      <c r="A34" s="1" t="s">
        <v>440</v>
      </c>
    </row>
    <row r="35">
      <c r="A35" s="1" t="s">
        <v>441</v>
      </c>
    </row>
    <row r="36">
      <c r="A36" s="1" t="s">
        <v>443</v>
      </c>
    </row>
    <row r="37">
      <c r="A37" s="1" t="s">
        <v>445</v>
      </c>
    </row>
    <row r="38">
      <c r="A38" s="1" t="s">
        <v>447</v>
      </c>
    </row>
    <row r="39">
      <c r="A39" s="1" t="s">
        <v>450</v>
      </c>
    </row>
    <row r="40">
      <c r="A40" s="1" t="s">
        <v>451</v>
      </c>
    </row>
    <row r="41">
      <c r="A41" s="1" t="s">
        <v>453</v>
      </c>
    </row>
    <row r="42">
      <c r="A42" s="1" t="s">
        <v>454</v>
      </c>
    </row>
    <row r="43">
      <c r="A43" s="1" t="s">
        <v>455</v>
      </c>
    </row>
    <row r="44">
      <c r="A44" s="1" t="s">
        <v>457</v>
      </c>
    </row>
    <row r="45">
      <c r="A45" s="1" t="s">
        <v>458</v>
      </c>
    </row>
    <row r="46">
      <c r="A46" s="1" t="s">
        <v>460</v>
      </c>
    </row>
    <row r="47">
      <c r="A47" s="1" t="s">
        <v>461</v>
      </c>
    </row>
    <row r="48">
      <c r="A48" s="1" t="s">
        <v>463</v>
      </c>
    </row>
    <row r="49">
      <c r="A49" s="1" t="s">
        <v>464</v>
      </c>
    </row>
    <row r="50">
      <c r="A50" s="1" t="s">
        <v>465</v>
      </c>
    </row>
    <row r="51">
      <c r="A51" s="1" t="s">
        <v>466</v>
      </c>
    </row>
    <row r="52">
      <c r="A52" s="1" t="s">
        <v>468</v>
      </c>
    </row>
    <row r="53">
      <c r="A53" s="1" t="s">
        <v>469</v>
      </c>
    </row>
    <row r="54">
      <c r="A54" s="1" t="s">
        <v>470</v>
      </c>
    </row>
    <row r="55">
      <c r="A55" s="1" t="s">
        <v>472</v>
      </c>
    </row>
    <row r="56">
      <c r="A56" s="1" t="s">
        <v>473</v>
      </c>
    </row>
    <row r="57">
      <c r="A57" s="1" t="s">
        <v>475</v>
      </c>
    </row>
    <row r="58">
      <c r="A58" s="1" t="s">
        <v>476</v>
      </c>
    </row>
    <row r="59">
      <c r="A59" s="1" t="s">
        <v>477</v>
      </c>
    </row>
    <row r="60">
      <c r="A60" s="1" t="s">
        <v>479</v>
      </c>
    </row>
    <row r="61">
      <c r="A61" s="1" t="s">
        <v>480</v>
      </c>
    </row>
    <row r="62">
      <c r="A62" s="1" t="s">
        <v>482</v>
      </c>
    </row>
    <row r="63">
      <c r="A63" s="1" t="s">
        <v>484</v>
      </c>
    </row>
    <row r="64">
      <c r="A64" s="1" t="s">
        <v>487</v>
      </c>
    </row>
    <row r="65">
      <c r="A65" s="1" t="s">
        <v>488</v>
      </c>
    </row>
    <row r="66">
      <c r="A66" s="1" t="s">
        <v>491</v>
      </c>
    </row>
    <row r="67">
      <c r="A67" s="1" t="s">
        <v>492</v>
      </c>
    </row>
    <row r="68">
      <c r="A68" s="1" t="s">
        <v>493</v>
      </c>
    </row>
    <row r="69">
      <c r="A69" s="1" t="s">
        <v>494</v>
      </c>
    </row>
    <row r="70">
      <c r="A70" s="1" t="s">
        <v>495</v>
      </c>
    </row>
    <row r="71">
      <c r="A71" s="1" t="s">
        <v>496</v>
      </c>
    </row>
    <row r="72">
      <c r="A72" s="1" t="s">
        <v>498</v>
      </c>
    </row>
    <row r="73">
      <c r="A73" s="1" t="s">
        <v>499</v>
      </c>
    </row>
    <row r="74">
      <c r="A74" s="1" t="s">
        <v>500</v>
      </c>
    </row>
    <row r="75">
      <c r="A75" s="1" t="s">
        <v>501</v>
      </c>
    </row>
    <row r="76">
      <c r="A76" s="1" t="s">
        <v>502</v>
      </c>
    </row>
    <row r="77">
      <c r="A77" s="1" t="s">
        <v>504</v>
      </c>
    </row>
    <row r="78">
      <c r="A78" s="1" t="s">
        <v>505</v>
      </c>
    </row>
    <row r="79">
      <c r="A79" s="1" t="s">
        <v>506</v>
      </c>
    </row>
    <row r="80">
      <c r="A80" s="1" t="s">
        <v>508</v>
      </c>
    </row>
    <row r="81">
      <c r="A81" s="1" t="s">
        <v>509</v>
      </c>
    </row>
    <row r="82">
      <c r="A82" s="1" t="s">
        <v>510</v>
      </c>
    </row>
    <row r="83">
      <c r="A83" s="1" t="s">
        <v>512</v>
      </c>
    </row>
    <row r="84">
      <c r="A84" s="1" t="s">
        <v>513</v>
      </c>
    </row>
    <row r="85">
      <c r="A85" s="1" t="s">
        <v>514</v>
      </c>
    </row>
    <row r="86">
      <c r="A86" s="1" t="s">
        <v>515</v>
      </c>
    </row>
    <row r="87">
      <c r="A87" s="1" t="s">
        <v>516</v>
      </c>
    </row>
    <row r="88">
      <c r="A88" s="1" t="s">
        <v>517</v>
      </c>
    </row>
    <row r="89">
      <c r="A89" s="1" t="s">
        <v>518</v>
      </c>
    </row>
    <row r="90">
      <c r="A90" s="1" t="s">
        <v>519</v>
      </c>
    </row>
    <row r="91">
      <c r="A91" s="1" t="s">
        <v>520</v>
      </c>
    </row>
    <row r="92">
      <c r="A92" s="1" t="s">
        <v>522</v>
      </c>
    </row>
    <row r="93">
      <c r="A93" s="1" t="s">
        <v>523</v>
      </c>
    </row>
    <row r="94">
      <c r="A94" s="1" t="s">
        <v>525</v>
      </c>
    </row>
    <row r="95">
      <c r="A95" s="1" t="s">
        <v>526</v>
      </c>
    </row>
    <row r="96">
      <c r="A96" s="1" t="s">
        <v>528</v>
      </c>
    </row>
    <row r="97">
      <c r="A97" s="1" t="s">
        <v>529</v>
      </c>
    </row>
    <row r="98">
      <c r="A98" s="1" t="s">
        <v>530</v>
      </c>
    </row>
    <row r="99">
      <c r="A99" s="1" t="s">
        <v>532</v>
      </c>
    </row>
    <row r="100">
      <c r="A100" s="1" t="s">
        <v>533</v>
      </c>
    </row>
    <row r="101">
      <c r="A101" s="1" t="s">
        <v>534</v>
      </c>
    </row>
    <row r="102">
      <c r="A102" s="1" t="s">
        <v>535</v>
      </c>
    </row>
    <row r="103">
      <c r="A103" s="1" t="s">
        <v>537</v>
      </c>
    </row>
    <row r="104">
      <c r="A104" s="1" t="s">
        <v>538</v>
      </c>
    </row>
    <row r="105">
      <c r="A105" s="1" t="s">
        <v>539</v>
      </c>
    </row>
    <row r="106">
      <c r="A106" s="1" t="s">
        <v>540</v>
      </c>
    </row>
    <row r="107">
      <c r="A107" s="1" t="s">
        <v>541</v>
      </c>
    </row>
    <row r="108">
      <c r="A108" s="1" t="s">
        <v>543</v>
      </c>
    </row>
    <row r="109">
      <c r="A109" s="1" t="s">
        <v>545</v>
      </c>
    </row>
    <row r="110">
      <c r="A110" s="1" t="s">
        <v>547</v>
      </c>
    </row>
    <row r="111">
      <c r="A111" s="1" t="s">
        <v>548</v>
      </c>
    </row>
    <row r="112">
      <c r="A112" s="1" t="s">
        <v>549</v>
      </c>
    </row>
    <row r="113">
      <c r="A113" s="1" t="s">
        <v>550</v>
      </c>
    </row>
    <row r="114">
      <c r="A114" s="1" t="s">
        <v>553</v>
      </c>
    </row>
    <row r="115">
      <c r="A115" s="1" t="s">
        <v>554</v>
      </c>
    </row>
    <row r="116">
      <c r="A116" s="1" t="s">
        <v>555</v>
      </c>
    </row>
    <row r="117">
      <c r="A117" s="1" t="s">
        <v>556</v>
      </c>
    </row>
    <row r="118">
      <c r="A118" s="1" t="s">
        <v>558</v>
      </c>
    </row>
    <row r="119">
      <c r="A119" s="1" t="s">
        <v>559</v>
      </c>
    </row>
    <row r="120">
      <c r="A120" s="1"/>
    </row>
    <row r="121">
      <c r="A121" s="1"/>
    </row>
    <row r="122">
      <c r="A122" s="1"/>
    </row>
    <row r="123">
      <c r="A123" s="1"/>
    </row>
    <row r="124">
      <c r="A124" s="1"/>
    </row>
    <row r="125">
      <c r="A125" s="1"/>
    </row>
    <row r="126">
      <c r="A126" s="1"/>
    </row>
    <row r="127">
      <c r="A127" s="1"/>
    </row>
    <row r="128">
      <c r="A128" s="1"/>
    </row>
    <row r="129">
      <c r="A129" s="1"/>
    </row>
    <row r="130">
      <c r="A130" s="1"/>
    </row>
    <row r="131">
      <c r="A131" s="1"/>
    </row>
    <row r="132">
      <c r="A132" s="1"/>
    </row>
    <row r="133">
      <c r="A133" s="1"/>
    </row>
    <row r="134">
      <c r="A134" s="1"/>
    </row>
    <row r="135">
      <c r="A135" s="1"/>
    </row>
    <row r="136">
      <c r="A136" s="1"/>
    </row>
    <row r="137">
      <c r="A137" s="1"/>
    </row>
    <row r="138">
      <c r="A138" s="1"/>
    </row>
    <row r="139">
      <c r="A139" s="1"/>
    </row>
    <row r="140">
      <c r="A140" s="1"/>
    </row>
    <row r="141">
      <c r="A141" s="1"/>
    </row>
    <row r="142">
      <c r="A142" s="1"/>
    </row>
    <row r="143">
      <c r="A143" s="1"/>
    </row>
    <row r="144">
      <c r="A144" s="1"/>
    </row>
    <row r="145">
      <c r="A145" s="1"/>
    </row>
    <row r="146">
      <c r="A146" s="1"/>
    </row>
    <row r="147">
      <c r="A147" s="1"/>
    </row>
    <row r="148">
      <c r="A148" s="1"/>
    </row>
    <row r="149">
      <c r="A149" s="1"/>
    </row>
    <row r="150">
      <c r="A150" s="1"/>
    </row>
    <row r="151">
      <c r="A151" s="1"/>
    </row>
    <row r="152">
      <c r="A152" s="1"/>
    </row>
    <row r="153">
      <c r="A153" s="1"/>
    </row>
    <row r="154">
      <c r="A154" s="1"/>
    </row>
    <row r="155">
      <c r="A155" s="1"/>
    </row>
    <row r="156">
      <c r="A156" s="1"/>
    </row>
    <row r="157">
      <c r="A157" s="1"/>
    </row>
    <row r="158">
      <c r="A158" s="1"/>
    </row>
    <row r="159">
      <c r="A159" s="1"/>
    </row>
    <row r="160">
      <c r="A160" s="1"/>
    </row>
    <row r="161">
      <c r="A161" s="1"/>
    </row>
    <row r="162">
      <c r="A162" s="1"/>
    </row>
    <row r="163">
      <c r="A163" s="1"/>
    </row>
    <row r="164">
      <c r="A164" s="1"/>
    </row>
    <row r="165">
      <c r="A165" s="1"/>
    </row>
    <row r="166">
      <c r="A166" s="1"/>
    </row>
    <row r="167">
      <c r="A167" s="1"/>
    </row>
    <row r="168">
      <c r="A168" s="1"/>
    </row>
    <row r="169">
      <c r="A169" s="1"/>
    </row>
    <row r="170">
      <c r="A170" s="1"/>
    </row>
    <row r="171">
      <c r="A171" s="1"/>
    </row>
    <row r="172">
      <c r="A172" s="1"/>
    </row>
    <row r="173">
      <c r="A173" s="1"/>
    </row>
    <row r="174">
      <c r="A174" s="1"/>
    </row>
    <row r="175">
      <c r="A175" s="1"/>
    </row>
    <row r="176">
      <c r="A176" s="1"/>
    </row>
    <row r="177">
      <c r="A177" s="1"/>
    </row>
    <row r="178">
      <c r="A178" s="1"/>
    </row>
    <row r="179">
      <c r="A179" s="1"/>
    </row>
    <row r="180">
      <c r="A180" s="1"/>
    </row>
    <row r="181">
      <c r="A181" s="1"/>
    </row>
    <row r="182">
      <c r="A182" s="1"/>
    </row>
    <row r="183">
      <c r="A183" s="1"/>
    </row>
    <row r="184">
      <c r="A184" s="1"/>
    </row>
    <row r="185">
      <c r="A185" s="1"/>
    </row>
    <row r="186">
      <c r="A186" s="1"/>
    </row>
    <row r="187">
      <c r="A187" s="1"/>
    </row>
    <row r="188">
      <c r="A188" s="1"/>
    </row>
    <row r="189">
      <c r="A189" s="1"/>
    </row>
    <row r="190">
      <c r="A190" s="1"/>
    </row>
    <row r="191">
      <c r="A191" s="1"/>
    </row>
    <row r="192">
      <c r="A192" s="1"/>
    </row>
    <row r="193">
      <c r="A193" s="1"/>
    </row>
    <row r="194">
      <c r="A194" s="1"/>
    </row>
    <row r="195">
      <c r="A195" s="1"/>
    </row>
    <row r="196">
      <c r="A196" s="1"/>
    </row>
    <row r="197">
      <c r="A197" s="1"/>
    </row>
    <row r="198">
      <c r="A198" s="1"/>
    </row>
    <row r="199">
      <c r="A199" s="1"/>
    </row>
    <row r="200">
      <c r="A200" s="1"/>
    </row>
    <row r="201">
      <c r="A201" s="1"/>
    </row>
    <row r="202">
      <c r="A202" s="1"/>
    </row>
    <row r="203">
      <c r="A203" s="1"/>
    </row>
    <row r="204">
      <c r="A204" s="1"/>
    </row>
    <row r="205">
      <c r="A205" s="1"/>
    </row>
  </sheetData>
  <drawing r:id="rId1"/>
</worksheet>
</file>